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eSpark\Desktop\BOM files stephen\"/>
    </mc:Choice>
  </mc:AlternateContent>
  <bookViews>
    <workbookView xWindow="28680" yWindow="-120" windowWidth="29040" windowHeight="1584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112" i="1" l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<sst xmlns="http://schemas.openxmlformats.org/spreadsheetml/2006/main" count="777" uniqueCount="492">
  <si>
    <t>#</t>
  </si>
  <si>
    <t>Item Type</t>
  </si>
  <si>
    <t>Diodes</t>
  </si>
  <si>
    <t>Capacitors</t>
  </si>
  <si>
    <t>Capacitor</t>
  </si>
  <si>
    <t>Diode</t>
  </si>
  <si>
    <t>TVS Diodes</t>
  </si>
  <si>
    <t>Ferrite Beads</t>
  </si>
  <si>
    <t>Ferrite Bead</t>
  </si>
  <si>
    <t>USB Connector</t>
  </si>
  <si>
    <t>Terminal Block</t>
  </si>
  <si>
    <t>Inductor</t>
  </si>
  <si>
    <t>Inductors</t>
  </si>
  <si>
    <t>LED</t>
  </si>
  <si>
    <t>Transistor</t>
  </si>
  <si>
    <t>BJTs</t>
  </si>
  <si>
    <t>Mosfet</t>
  </si>
  <si>
    <t>Resistor</t>
  </si>
  <si>
    <t>Resistors</t>
  </si>
  <si>
    <t>Varistors</t>
  </si>
  <si>
    <t>IC</t>
  </si>
  <si>
    <t>Power Module</t>
  </si>
  <si>
    <t>(TVS/ESD)</t>
  </si>
  <si>
    <t>Accelerometers</t>
  </si>
  <si>
    <t>Current Sensors</t>
  </si>
  <si>
    <t>Crystal</t>
  </si>
  <si>
    <t>Designator</t>
  </si>
  <si>
    <t>ANT1</t>
  </si>
  <si>
    <t>BR1, BR2, BR3</t>
  </si>
  <si>
    <t>C1, C2, C3, C4, C5, C6, C7, C8, C11, C12, C13, C14</t>
  </si>
  <si>
    <t>C9, C10</t>
  </si>
  <si>
    <t>C15, C16, C17, C18, C20, C22, C24</t>
  </si>
  <si>
    <t>C19, C21, C23, C25</t>
  </si>
  <si>
    <t>C26, C29, C32</t>
  </si>
  <si>
    <t>C27, C28, C30, C31, C33, C34</t>
  </si>
  <si>
    <t>C35, C38</t>
  </si>
  <si>
    <t>C36</t>
  </si>
  <si>
    <t>C37, C44</t>
  </si>
  <si>
    <t>C39, C43, C52, C53, C55, C60, C67, C69, C71</t>
  </si>
  <si>
    <t>C40, C41</t>
  </si>
  <si>
    <t>C42</t>
  </si>
  <si>
    <t>C45</t>
  </si>
  <si>
    <t>C46, C47</t>
  </si>
  <si>
    <t>C48</t>
  </si>
  <si>
    <t>C49</t>
  </si>
  <si>
    <t>C50, C51, C54</t>
  </si>
  <si>
    <t>C56</t>
  </si>
  <si>
    <t>C57, C58, C59, C61, C62, C70, C73</t>
  </si>
  <si>
    <t>C63, C68</t>
  </si>
  <si>
    <t>C64, C65</t>
  </si>
  <si>
    <t>C66</t>
  </si>
  <si>
    <t>C72</t>
  </si>
  <si>
    <t>C74</t>
  </si>
  <si>
    <t>C75, C77</t>
  </si>
  <si>
    <t>C76</t>
  </si>
  <si>
    <t>C78, C79</t>
  </si>
  <si>
    <t>C80, C89, C98</t>
  </si>
  <si>
    <t>C81, C90, C99</t>
  </si>
  <si>
    <t>C82, C91, C100</t>
  </si>
  <si>
    <t>C83, C84, C86, C87, C92, C93, C95, C96, C101, C102, C104, C105</t>
  </si>
  <si>
    <t>C85, C94, C103</t>
  </si>
  <si>
    <t>C88, C97, C106</t>
  </si>
  <si>
    <t>C107, C108, C109</t>
  </si>
  <si>
    <t>D1, D2, D3, D4, D5, D6</t>
  </si>
  <si>
    <t>D7, D12, D13, D14</t>
  </si>
  <si>
    <t>D8</t>
  </si>
  <si>
    <t>D9, D10, D11</t>
  </si>
  <si>
    <t>FB1, FB2, FB3, FB4</t>
  </si>
  <si>
    <t>FB5</t>
  </si>
  <si>
    <t>FB6</t>
  </si>
  <si>
    <t>J1</t>
  </si>
  <si>
    <t>J2</t>
  </si>
  <si>
    <t>J3</t>
  </si>
  <si>
    <t>J4</t>
  </si>
  <si>
    <t>J5</t>
  </si>
  <si>
    <t>J6</t>
  </si>
  <si>
    <t>J7</t>
  </si>
  <si>
    <t>J8</t>
  </si>
  <si>
    <t>L1</t>
  </si>
  <si>
    <t>L2</t>
  </si>
  <si>
    <t>L3, L4</t>
  </si>
  <si>
    <t>L5</t>
  </si>
  <si>
    <t>L6</t>
  </si>
  <si>
    <t>L7</t>
  </si>
  <si>
    <t>LED1, LED2, LED3, LED4, LED5</t>
  </si>
  <si>
    <t>LED6</t>
  </si>
  <si>
    <t>Q1, Q3, Q5</t>
  </si>
  <si>
    <t>Q2, Q4, Q6</t>
  </si>
  <si>
    <t>Q7, Q8, Q9</t>
  </si>
  <si>
    <t>R1, R5, R7, R8, R9, R13, R15, R19, R24, R25</t>
  </si>
  <si>
    <t>R2, R6, R10, R14, R16, R20</t>
  </si>
  <si>
    <t>R3, R4, R11, R12, R17, R18</t>
  </si>
  <si>
    <t>R21, R22, R65, R66</t>
  </si>
  <si>
    <t>R23</t>
  </si>
  <si>
    <t>R26, R27, R28, R29</t>
  </si>
  <si>
    <t>R30, R31, R32, R33, R36, R37, R38, R39, R42, R43, R44, R45</t>
  </si>
  <si>
    <t>R34, R35, R40, R41, R46, R47, R74</t>
  </si>
  <si>
    <t>R48, R49, R50, R51, R52, R53, R54, R55, R56, R57, R58, R59, R60, R61, R62, R63, R64, R91, R92, R93, R94, R95, R96, R97, R152, R153, R154</t>
  </si>
  <si>
    <t>R67, R76, R77, R78, R79, R80, R81, R82, R83, R89, R90, R155, R157, R159</t>
  </si>
  <si>
    <t>R68</t>
  </si>
  <si>
    <t>R69, R73</t>
  </si>
  <si>
    <t>R70</t>
  </si>
  <si>
    <t>R71, R72</t>
  </si>
  <si>
    <t>R75</t>
  </si>
  <si>
    <t>R84, R87</t>
  </si>
  <si>
    <t>R85</t>
  </si>
  <si>
    <t>R86</t>
  </si>
  <si>
    <t>R88</t>
  </si>
  <si>
    <t>R98, R99, R101, R102, R103, R104, R115, R116, R118, R119, R120, R121, R132, R133, R135, R136, R137, R138</t>
  </si>
  <si>
    <t>R100, R117, R134</t>
  </si>
  <si>
    <t>R105, R122, R139</t>
  </si>
  <si>
    <t>R106, R123, R140</t>
  </si>
  <si>
    <t>R107, R124, R141, R156, R158, R160</t>
  </si>
  <si>
    <t>R108, R125, R142</t>
  </si>
  <si>
    <t>R109, R126, R143</t>
  </si>
  <si>
    <t>R110, R111, R112, R127, R128, R129, R144, R145, R146</t>
  </si>
  <si>
    <t>R113, R114, R130, R131, R147, R148</t>
  </si>
  <si>
    <t>R149, R150, R151</t>
  </si>
  <si>
    <t>RV1, RV2, RV3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</si>
  <si>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</si>
  <si>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</si>
  <si>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</si>
  <si>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</si>
  <si>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</si>
  <si>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</si>
  <si>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</si>
  <si>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</si>
  <si>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</si>
  <si>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</si>
  <si>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</si>
  <si>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</si>
  <si>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</si>
  <si>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</si>
  <si>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U15, U16, U17</t>
  </si>
  <si>
    <t>X1</t>
  </si>
  <si>
    <t>X2</t>
  </si>
  <si>
    <t>X3</t>
  </si>
  <si>
    <t>Description</t>
  </si>
  <si>
    <t>RF ANT 2.4GHZ CHIP SOLDER SMD</t>
  </si>
  <si>
    <t>BRIDGE RECT 1P 600V 1A 4MICRODIP</t>
  </si>
  <si>
    <t>CAP CER 0.022UF 50V C0G/NP0 0805</t>
  </si>
  <si>
    <t>CAP CER 15PF 50V C0G/NPO 0603</t>
  </si>
  <si>
    <t>CAP CER 0.1UF 50V X7R 0603</t>
  </si>
  <si>
    <t>CAP CER 4.7UF 10V X7R 0603</t>
  </si>
  <si>
    <t>51 pF ±1% 250V Ceramic Capacitor C0G, NP0 0603 (1608 Metric)</t>
  </si>
  <si>
    <t>CAP CER 0.022UF 500V X7R 1206</t>
  </si>
  <si>
    <t>CAP CER 1UF 16V X5R 0402</t>
  </si>
  <si>
    <t>CAP CER 0.047UF 50V X7R 0402</t>
  </si>
  <si>
    <t>CAP CER 0.1UF 16V X7R 0402</t>
  </si>
  <si>
    <t>CAP CER 6.8PF 50V C0G/NPO 0402</t>
  </si>
  <si>
    <t>CAP CER 100PF 50V C0G/NPO 0402</t>
  </si>
  <si>
    <t>CAP CER 2.2PF 50V C0G/NP0 0402</t>
  </si>
  <si>
    <t>50V 9pF C0G 0402 Multilayer Ceramic Capacitors MLCC - SMD/SMT ROHS</t>
  </si>
  <si>
    <t>CAP CER 0.8PF 50V C0G/NPO 0402</t>
  </si>
  <si>
    <t>CAP CER 820PF 50V C0G/NPO 0603</t>
  </si>
  <si>
    <t>CAP CER 4.7UF 16V X5R 0402</t>
  </si>
  <si>
    <t>CAP ALUM POLY 120UF 20% 20V SMD</t>
  </si>
  <si>
    <t>CAP CER 10UF 10V X7R 0603</t>
  </si>
  <si>
    <t>CAP CER 22UF 10V X7R 0805</t>
  </si>
  <si>
    <t>CAP CER 1UF 6.3V X7R 0402</t>
  </si>
  <si>
    <t>10uF 160V ±20% SMD,D8xL10.2mm Aluminum Electrolytic Capacitors - SMD ROHS</t>
  </si>
  <si>
    <t>50V 6.8nF X7R ±10% 0603</t>
  </si>
  <si>
    <t>CAP CER 0.015UF 50V X7R 0603</t>
  </si>
  <si>
    <t>CAP CER 1000PF 25V X7R 0402</t>
  </si>
  <si>
    <t>CAP CER 0.47UF 50V X5R 0603</t>
  </si>
  <si>
    <t>CAP CER 180PF 50V C0G/NPO 0603</t>
  </si>
  <si>
    <t>250V 3.3uF X7R ±10% 2220 Multilayer Ceramic Capacitors MLCC - SMD/SMT ROHS</t>
  </si>
  <si>
    <t>CAP CER 1000PF 100V X7R 0603</t>
  </si>
  <si>
    <t>CAP CER 0.1UF 100V X7R 0603</t>
  </si>
  <si>
    <t>CAP CER 1000PF 2KV X7R 1808</t>
  </si>
  <si>
    <t>CAP CER 10000PF 50V X7R 0603</t>
  </si>
  <si>
    <t>DIODE ARR GP 100V 215MA TO-236AB</t>
  </si>
  <si>
    <t>DIODE ZENER 3.3V 200MW SOD323F</t>
  </si>
  <si>
    <t>TVS DIODE 3VWM SOT323-5</t>
  </si>
  <si>
    <t>DIODE AVAL 600V 1.5A DO214AC</t>
  </si>
  <si>
    <t>FERRITE BEAD 1.5 KOHM 0805 1LN</t>
  </si>
  <si>
    <t>FERRITE BEAD 220 OHM 0805 1LN</t>
  </si>
  <si>
    <t>FERRITE BEAD 1K OHM 0805 1LN</t>
  </si>
  <si>
    <t>5A 1 16P Female Type-C SMD USB Connectors ROHS</t>
  </si>
  <si>
    <t>320V 20A 14 Bend -40℃~+105℃ 1 5.08mm 1x14P Green Receptacle-Close Screw Fixing Push-Pull,P=5.08mm Pluggable System Terminal Block ROHS</t>
  </si>
  <si>
    <t>-40℃~+105℃ 2.5 1 14~28 5.08mm 320V 20A 14 1x14P Green Plug Screw Fixing P=5.08mm Pluggable System Terminal Block ROHS</t>
  </si>
  <si>
    <t>CABLE ADAPTER 6 POS</t>
  </si>
  <si>
    <t>320V 20A 12 Bend -40℃~+105℃ 1 5.08mm 1x12P Green Receptacle-Close Screw Fixing Push-Pull,P=5.08mm Pluggable System Terminal Block ROHS</t>
  </si>
  <si>
    <t>-40℃~+105℃ 2.5 1 14~28 5.08mm 320V 20A 12 1x12P Green Plug Screw Fixing P=5.08mm Pluggable System Terminal Block ROHS</t>
  </si>
  <si>
    <t>1000V 57A 1 1 10.16mm P=10.16mm Pluggable System Terminal Block ROHS</t>
  </si>
  <si>
    <t>FIXED IND 15NH 400MA 0.45OHM SMD</t>
  </si>
  <si>
    <t>FIXED IND 10UH 250MA 1.05OHM SMD</t>
  </si>
  <si>
    <t>FIXED IND 3.9NH 350MA 350MOHM SM</t>
  </si>
  <si>
    <t>FIXED IND 2.7NH 500MA 200MOHM SM</t>
  </si>
  <si>
    <t>2.34A 1.5uH Shielded Power Inductors ±20% SMD Power Inductors ROHS</t>
  </si>
  <si>
    <t>4A 2.2uH ±20% 32mΩ SMD,5.4x5.2x2mm Power Inductors ROHS</t>
  </si>
  <si>
    <t>Emerald 0603 Light Emitting Diodes (LED) ROHS</t>
  </si>
  <si>
    <t>RED LED 0603 Light Emitting Diodes</t>
  </si>
  <si>
    <t>TRANS NPN 40V 0.2A SOT523</t>
  </si>
  <si>
    <t>TRANS NPN 400V 8A D2PAK</t>
  </si>
  <si>
    <t>NPN 246mW 100mA 50V SOT-23 Digital Transistors ROHS</t>
  </si>
  <si>
    <t>RES SMD 0R, 1%, 0.1W, 0603</t>
  </si>
  <si>
    <t>RES SMD 1K OHM 1% 1/10W 0603</t>
  </si>
  <si>
    <t>RES 0.002 OHM 1% 3W 2512</t>
  </si>
  <si>
    <t>RES 4.7K OHM 1% 1/16W 0402</t>
  </si>
  <si>
    <t>RES SMD 10K Ohm 1% 1/10W 0603</t>
  </si>
  <si>
    <t>RES SMD 680 OHM 1% 1/10W 0603</t>
  </si>
  <si>
    <t>RES SMD 200K OHM 1% 1W 2512</t>
  </si>
  <si>
    <t>RES 1K OHM 5% 1W 2512</t>
  </si>
  <si>
    <t>RES 0 OHM JUMPER 1/16W 0402</t>
  </si>
  <si>
    <t>RES 10K OHM 1% 1/16W 0402</t>
  </si>
  <si>
    <t>RES 3.3K OHM 1% 1/16W 0402</t>
  </si>
  <si>
    <t>RES 1K OHM 1% 1/16W 0402</t>
  </si>
  <si>
    <t>RES SMD 100K OHM 0.1% 1/16W 0402</t>
  </si>
  <si>
    <t>RES 5.1K OHM 1% 1/16W 0402</t>
  </si>
  <si>
    <t>RES 680 OHM 1% 1/16W 0402</t>
  </si>
  <si>
    <t>RES 0 OHM JUMPER 1/8W 0805</t>
  </si>
  <si>
    <t>3W ±1% 200kΩ 2512 Chip Resistor - Surface Mount ROHS</t>
  </si>
  <si>
    <t>RES 6.2K OHM 5% 2W 2512</t>
  </si>
  <si>
    <t>RES SMD 220 OHM 1% 1/10W 0603</t>
  </si>
  <si>
    <t>3W Thick Film Resistors ±100ppm/℃ ±5% 51kΩ 2030 Chip Resistor - Surface Mount ROHS</t>
  </si>
  <si>
    <t>RES 75 OHM 1% 1/10W 0603</t>
  </si>
  <si>
    <t>RES SMD 36K Ohm 1% 0.1W 0603</t>
  </si>
  <si>
    <t>RES SMD 100 OHM 1% 1/10W 0603</t>
  </si>
  <si>
    <t>RES 0 OHM JUMPER 1/10W 0603</t>
  </si>
  <si>
    <t>RES SMD 10K OHM 0.1% 1/10W 0603</t>
  </si>
  <si>
    <t>RES SMD 4.7K OHM 1% 1/10W 0603</t>
  </si>
  <si>
    <t>RES SMD 10.5K OHM 1% 3/4W 2010</t>
  </si>
  <si>
    <t>1.5W Thick Film Resistors 400V ±100ppm/℃ ±5% 1MΩ 2010 Chip Resistor - Surface Mount ROHS</t>
  </si>
  <si>
    <t>RES 499 OHM 1% 1/10W 0603</t>
  </si>
  <si>
    <t>775V 385V 300V 470V Plugin Varistors ROHS</t>
  </si>
  <si>
    <t>IC AFE 7 CHAN 40LFCSP-WQ</t>
  </si>
  <si>
    <t>DGTL ISO 5000VRMS 4CH GP 16SOIC</t>
  </si>
  <si>
    <t>IC RF TXRX+MCU 802.15.4 73QFN</t>
  </si>
  <si>
    <t>IC FLASH 128MBIT SPI/QUAD 8WSON</t>
  </si>
  <si>
    <t>1.6-V TO 5.5-V, 20-M, 4-A LOW IQ</t>
  </si>
  <si>
    <t>IC REG BUCK BST 3.3V 900MA 10SON</t>
  </si>
  <si>
    <t>Plugin Isolated Power Modules ROHS</t>
  </si>
  <si>
    <t>6A 12V 150W 6V Unidirectional 5V SOT-23-6 ESD and Surge Protection (TVS/ESD) ROHS</t>
  </si>
  <si>
    <t>4V~6V Polymer 1 3.5A SOP-8-EP Battery Management ICs ROHS</t>
  </si>
  <si>
    <t>IC BATT MON LI-ION 1CELL 8TDFN</t>
  </si>
  <si>
    <t>SHTC3 Series Digital ±2% RH SMT Humidity Temperature Sensor - DFN-8</t>
  </si>
  <si>
    <t>ACCEL 2-16G I2C/SPI 14LGA</t>
  </si>
  <si>
    <t>IC ADC 16BIT SIGMA-DELTA 10VSSOP</t>
  </si>
  <si>
    <t>POSITION&amp;CURRENT SENSORS</t>
  </si>
  <si>
    <t>IC GRND FAULT CIRC INTER 16-VQFN</t>
  </si>
  <si>
    <t>24.576MHz Surface Mount Crystal 12pF ±10ppm ±20ppm SMD3225-4P Crystals ROHS</t>
  </si>
  <si>
    <t>Crystal, 32.768KHZ, 6PF, 3.2MM X 1.5MM Rohs Compliant: Yes</t>
  </si>
  <si>
    <t>CRYSTAL 32.0000MHZ 8PF SMD</t>
  </si>
  <si>
    <t>Footprint</t>
  </si>
  <si>
    <t>Cap-0805</t>
  </si>
  <si>
    <t>Cap-0603</t>
  </si>
  <si>
    <t>Cap-1206</t>
  </si>
  <si>
    <t>Cap-0402</t>
  </si>
  <si>
    <t>20SVPF120M</t>
  </si>
  <si>
    <t>UD2C100M0810</t>
  </si>
  <si>
    <t>Cap 2220</t>
  </si>
  <si>
    <t>Cap 1808</t>
  </si>
  <si>
    <t>SOT-23</t>
  </si>
  <si>
    <t>SOD323F</t>
  </si>
  <si>
    <t>SOT-323-5</t>
  </si>
  <si>
    <t>SMA(DO-214AC)</t>
  </si>
  <si>
    <t>Ind-0805</t>
  </si>
  <si>
    <t>DB2ERM-5.08-14P-GN</t>
  </si>
  <si>
    <t>DB2ERM-5.08-12P-GN</t>
  </si>
  <si>
    <t>DB136H-10.16-1P-RD-P</t>
  </si>
  <si>
    <t>DB136H-10.16-1P-BK-P</t>
  </si>
  <si>
    <t>IND-0402</t>
  </si>
  <si>
    <t>IND-0201</t>
  </si>
  <si>
    <t>LVT303012-1R5M-N</t>
  </si>
  <si>
    <t>LED-0603</t>
  </si>
  <si>
    <t>SOT-523</t>
  </si>
  <si>
    <t>D2PAK</t>
  </si>
  <si>
    <t>Res-0603</t>
  </si>
  <si>
    <t>RES-2512</t>
  </si>
  <si>
    <t>Res-0402</t>
  </si>
  <si>
    <t>Res-0805</t>
  </si>
  <si>
    <t>Res-2030</t>
  </si>
  <si>
    <t>RES-2010</t>
  </si>
  <si>
    <t>471KD10J</t>
  </si>
  <si>
    <t>SOT-583</t>
  </si>
  <si>
    <t>10-SON (2.5x2.5)</t>
  </si>
  <si>
    <t>B0303S-1WR2</t>
  </si>
  <si>
    <t>SOT-23-6</t>
  </si>
  <si>
    <t>14-LGA (3x5)</t>
  </si>
  <si>
    <t>VSSOP-10</t>
  </si>
  <si>
    <t>TISON-8(8x8)</t>
  </si>
  <si>
    <t>VQFN-16(3x3)</t>
  </si>
  <si>
    <t>SMD3225-4P</t>
  </si>
  <si>
    <t>SMD3215-2P</t>
  </si>
  <si>
    <t>SMD2016-4P</t>
  </si>
  <si>
    <t>Manufacturer Part Number</t>
  </si>
  <si>
    <t>2450AT18B100E</t>
  </si>
  <si>
    <t>MDB6S</t>
  </si>
  <si>
    <t>GRM21B5C1H223JA01L</t>
  </si>
  <si>
    <t>CC0603JRNPO9BN150</t>
  </si>
  <si>
    <t>GCJ188R71H104KA12D</t>
  </si>
  <si>
    <t>GRM188Z71A475KE15D</t>
  </si>
  <si>
    <t>GQM1875C2E510FB12D</t>
  </si>
  <si>
    <t>CC1206KKX7RBBB223</t>
  </si>
  <si>
    <t>CC0402KRX5R7BB105</t>
  </si>
  <si>
    <t>CC0402KRX7R9BB473</t>
  </si>
  <si>
    <t>CC0402KRX7R7BB104</t>
  </si>
  <si>
    <t>CC0402CRNPO9BN6R8</t>
  </si>
  <si>
    <t>CC0402JRNPO9BN101</t>
  </si>
  <si>
    <t>GRM1555C1H2R2BA01D</t>
  </si>
  <si>
    <t>0402CG9R0C500NT</t>
  </si>
  <si>
    <t>CC0402BRNPO9BNR80</t>
  </si>
  <si>
    <t>CC0603JRNPO9BN821</t>
  </si>
  <si>
    <t>CL05A475MO5NUNC</t>
  </si>
  <si>
    <t>GRM188Z71A106KA73D</t>
  </si>
  <si>
    <t>CC0402JRX7R7BB104</t>
  </si>
  <si>
    <t>GRM21BZ71A226ME15L</t>
  </si>
  <si>
    <t>GRM155R70J105KA12J</t>
  </si>
  <si>
    <t>CC0603JRX7R9BB104</t>
  </si>
  <si>
    <t>0603B682K500NT</t>
  </si>
  <si>
    <t>CC0603JRX7R9BB153</t>
  </si>
  <si>
    <t>CC0402KRX7R8BB102</t>
  </si>
  <si>
    <t>CC0603KRX5R9BB474</t>
  </si>
  <si>
    <t>CC0603JRNPO9BN181</t>
  </si>
  <si>
    <t>FS55X335K251EHG</t>
  </si>
  <si>
    <t>06031C102KAT2A</t>
  </si>
  <si>
    <t>CC0603KRX7R0BB104</t>
  </si>
  <si>
    <t>GR442QR73D102KW01L</t>
  </si>
  <si>
    <t>CC0603KRX7R9BB103</t>
  </si>
  <si>
    <t>BAV99,215</t>
  </si>
  <si>
    <t>MM3Z3V3B</t>
  </si>
  <si>
    <t>ESDALC6V1W5</t>
  </si>
  <si>
    <t>BYG20J-E3/TR</t>
  </si>
  <si>
    <t>BLM21BD152SN1D</t>
  </si>
  <si>
    <t>BLM21PG221SN1D</t>
  </si>
  <si>
    <t>MMZ2012R102ATD25</t>
  </si>
  <si>
    <t>TYPE-C-31-M-12</t>
  </si>
  <si>
    <t>DB2EKM-5.08-14P-GN-S</t>
  </si>
  <si>
    <t>TC2030-IDC</t>
  </si>
  <si>
    <t>DB2EKM-5.08-12P-GN-S</t>
  </si>
  <si>
    <t>LQG15HN15NJ02D</t>
  </si>
  <si>
    <t>MLZ1608M100WT000</t>
  </si>
  <si>
    <t>LQP03TG3N9B02D</t>
  </si>
  <si>
    <t>LQP03TN2N7B02D</t>
  </si>
  <si>
    <t>YSPI0520-2R2M</t>
  </si>
  <si>
    <t>NCD0603G2</t>
  </si>
  <si>
    <t>NCD0603R3</t>
  </si>
  <si>
    <t>MMBT3904T-7-F</t>
  </si>
  <si>
    <t>STB13007DT4</t>
  </si>
  <si>
    <t>LMUN2211LT1G</t>
  </si>
  <si>
    <t>RC0603FR-070RL</t>
  </si>
  <si>
    <t>RC0603FR-071KL</t>
  </si>
  <si>
    <t>PA2512FKE7T0R002E</t>
  </si>
  <si>
    <t>RC0402FR-074K7L</t>
  </si>
  <si>
    <t>RC0603FR-0710KL</t>
  </si>
  <si>
    <t>RC0603FR-07680RL</t>
  </si>
  <si>
    <t>CRCW2512200KFKEG</t>
  </si>
  <si>
    <t>RC2512JK-071KL</t>
  </si>
  <si>
    <t>RC0402FR-070RL</t>
  </si>
  <si>
    <t>RC0402FR-0710KL</t>
  </si>
  <si>
    <t>RC0402FR-073K3L</t>
  </si>
  <si>
    <t>RC0402FR-071KL</t>
  </si>
  <si>
    <t>RT0402BRD07100KL</t>
  </si>
  <si>
    <t>RC0402FR-075K1L</t>
  </si>
  <si>
    <t>RC0402FR-07680RL</t>
  </si>
  <si>
    <t>RC0805FR-070RL</t>
  </si>
  <si>
    <t>HoCUH2512-3W-200KR-1%</t>
  </si>
  <si>
    <t>RC2512JK-7W6K2L</t>
  </si>
  <si>
    <t>RC0603FR-07220RL</t>
  </si>
  <si>
    <t>CRW2030J51K0E01Z</t>
  </si>
  <si>
    <t>RC0603FR-0775RL</t>
  </si>
  <si>
    <t>RC0603FR-0736KL</t>
  </si>
  <si>
    <t>RC0603FR-07100RL</t>
  </si>
  <si>
    <t>RC0603JR-070RL</t>
  </si>
  <si>
    <t>RT0603BRD0710KL</t>
  </si>
  <si>
    <t>RC0603FR-074K7L</t>
  </si>
  <si>
    <t>CRCW201010K5FKEF</t>
  </si>
  <si>
    <t>AS101AJ0105T4E</t>
  </si>
  <si>
    <t>RC0603FR-07499RL</t>
  </si>
  <si>
    <t>ADE9000ACPZ</t>
  </si>
  <si>
    <t>ISO7741DWR</t>
  </si>
  <si>
    <t>NRF52840-QIAA-R</t>
  </si>
  <si>
    <t>W25Q128JVEIQ</t>
  </si>
  <si>
    <t>TPS2117DRLR</t>
  </si>
  <si>
    <t>TPS63031DSKR</t>
  </si>
  <si>
    <t>USBLC6-2SC6</t>
  </si>
  <si>
    <t>SLM6600</t>
  </si>
  <si>
    <t>MAX17048G+T10</t>
  </si>
  <si>
    <t>SHTC3-TR-2.5KS</t>
  </si>
  <si>
    <t>ADXL345BCCZ-RL7</t>
  </si>
  <si>
    <t>ADS1115IDGSR</t>
  </si>
  <si>
    <t>TLI4971-A120T5-U-E0001</t>
  </si>
  <si>
    <t>AFE3010AIRGTR</t>
  </si>
  <si>
    <t>X322524576MOB4SI</t>
  </si>
  <si>
    <t>Q13FC13500049</t>
  </si>
  <si>
    <t>Q22FA12800025</t>
  </si>
  <si>
    <t>Manufacturer</t>
  </si>
  <si>
    <t>Johanson</t>
  </si>
  <si>
    <t>ON Semiconductor / Fairchild</t>
  </si>
  <si>
    <t>Murata</t>
  </si>
  <si>
    <t>Yageo</t>
  </si>
  <si>
    <t>FH (Guangdong Fenghua Advanced Tech)</t>
  </si>
  <si>
    <t>Samsung</t>
  </si>
  <si>
    <t>Panasonic</t>
  </si>
  <si>
    <t>Honor Elec</t>
  </si>
  <si>
    <t>FH</t>
  </si>
  <si>
    <t>PSA(Prosperity Dielectrics)</t>
  </si>
  <si>
    <t>Kyocera AVX</t>
  </si>
  <si>
    <t>Nexperia</t>
  </si>
  <si>
    <t>STMicroelectronics</t>
  </si>
  <si>
    <t>Vishay Semiconductors</t>
  </si>
  <si>
    <t>TDK</t>
  </si>
  <si>
    <t>Korean Hroparts Elec</t>
  </si>
  <si>
    <t>DORABO</t>
  </si>
  <si>
    <t>Tag-Connect</t>
  </si>
  <si>
    <t>Chilisin Elec</t>
  </si>
  <si>
    <t>YJYCOIN</t>
  </si>
  <si>
    <t>Foshan NationStar Optoelectronics</t>
  </si>
  <si>
    <t>Diodes Zetex</t>
  </si>
  <si>
    <t>LRC</t>
  </si>
  <si>
    <t>Vishay Dale</t>
  </si>
  <si>
    <t>Milliohm</t>
  </si>
  <si>
    <t>Ever Ohms Tech</t>
  </si>
  <si>
    <t>UNI-ROYAL(Uniroyal Elec)</t>
  </si>
  <si>
    <t>Analog Devices</t>
  </si>
  <si>
    <t>Texas Instruments</t>
  </si>
  <si>
    <t>Nordic Semiconductor</t>
  </si>
  <si>
    <t>Winbond</t>
  </si>
  <si>
    <t>YLPTEC</t>
  </si>
  <si>
    <t>TECH PUBLIC</t>
  </si>
  <si>
    <t>SOLA-IC</t>
  </si>
  <si>
    <t>Maxim</t>
  </si>
  <si>
    <t>Sensirion</t>
  </si>
  <si>
    <t>Infineon</t>
  </si>
  <si>
    <t>YXC</t>
  </si>
  <si>
    <t>Epson</t>
  </si>
  <si>
    <t>22nF</t>
  </si>
  <si>
    <t>15pF</t>
  </si>
  <si>
    <t>0.1uF</t>
  </si>
  <si>
    <t>4.7uF</t>
  </si>
  <si>
    <t>51pF</t>
  </si>
  <si>
    <t>1uF</t>
  </si>
  <si>
    <t>47nF</t>
  </si>
  <si>
    <t>DNP</t>
  </si>
  <si>
    <t>6.8pF</t>
  </si>
  <si>
    <t>100pF</t>
  </si>
  <si>
    <t>2.2pF</t>
  </si>
  <si>
    <t>9pF</t>
  </si>
  <si>
    <t>0.8pF</t>
  </si>
  <si>
    <t>820pF</t>
  </si>
  <si>
    <t>120uF</t>
  </si>
  <si>
    <t>10uF</t>
  </si>
  <si>
    <t>22uF</t>
  </si>
  <si>
    <t>6.8nF</t>
  </si>
  <si>
    <t>15nF</t>
  </si>
  <si>
    <t>1nF</t>
  </si>
  <si>
    <t>470nF</t>
  </si>
  <si>
    <t>180pF</t>
  </si>
  <si>
    <t>3.3uF</t>
  </si>
  <si>
    <t>1000pF</t>
  </si>
  <si>
    <t>1nF/2Kv</t>
  </si>
  <si>
    <t>10nF</t>
  </si>
  <si>
    <t>15nH</t>
  </si>
  <si>
    <t>10uH</t>
  </si>
  <si>
    <t>3.9nH</t>
  </si>
  <si>
    <t>1.5uH</t>
  </si>
  <si>
    <t>2.2uH</t>
  </si>
  <si>
    <t>0R</t>
  </si>
  <si>
    <t>1K</t>
  </si>
  <si>
    <t>2mR</t>
  </si>
  <si>
    <t>4.7K</t>
  </si>
  <si>
    <t>10K</t>
  </si>
  <si>
    <t>680R</t>
  </si>
  <si>
    <t>200K</t>
  </si>
  <si>
    <t>3.3K</t>
  </si>
  <si>
    <t>5.1K</t>
  </si>
  <si>
    <t>6.2K</t>
  </si>
  <si>
    <t>220R</t>
  </si>
  <si>
    <t>51K</t>
  </si>
  <si>
    <t>75R</t>
  </si>
  <si>
    <t>36K</t>
  </si>
  <si>
    <t>100R</t>
  </si>
  <si>
    <t>10.5K</t>
  </si>
  <si>
    <t>1M</t>
  </si>
  <si>
    <t>499R</t>
  </si>
  <si>
    <t>24.576MHz</t>
  </si>
  <si>
    <t>32.768KHz</t>
  </si>
  <si>
    <t>32MHz</t>
  </si>
  <si>
    <t>Quantity</t>
  </si>
  <si>
    <t>Value</t>
  </si>
  <si>
    <t xml:space="preserve"> Remarks</t>
  </si>
  <si>
    <t>Custom</t>
  </si>
  <si>
    <t>TSSOP-4</t>
  </si>
  <si>
    <t>IND-0603</t>
  </si>
  <si>
    <t>SOIC-16</t>
  </si>
  <si>
    <t>AQFN-73-EP</t>
  </si>
  <si>
    <t>WSON-8-EP</t>
  </si>
  <si>
    <t>8-TDFN-EP</t>
  </si>
  <si>
    <t>4-WDFN</t>
  </si>
  <si>
    <t>-</t>
  </si>
  <si>
    <t>Do not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</si>
</sst>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trike/>
      <sz val="10"/>
      <color theme="0"/>
      <name val="Calibri"/>
      <family val="2"/>
      <scheme val="minor"/>
    </font>
    <font>
      <b/>
      <strike/>
      <sz val="10"/>
      <name val="Calibri"/>
      <family val="2"/>
      <scheme val="minor"/>
    </font>
    <font>
      <strike/>
      <sz val="9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12"/>
  <sheetViews>
    <sheetView tabSelected="1" workbookViewId="0">
      <selection activeCell="K77" sqref="B77:K77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26</v>
      </c>
      <c r="E2" s="6" t="s">
        <v>137</v>
      </c>
      <c r="F2" s="5" t="s">
        <v>244</v>
      </c>
      <c r="G2" s="6" t="s">
        <v>286</v>
      </c>
      <c r="H2" s="5" t="s">
        <v>387</v>
      </c>
      <c r="I2" s="6" t="s">
        <v>480</v>
      </c>
      <c r="J2" s="5" t="s">
        <v>479</v>
      </c>
      <c r="K2" s="5" t="s">
        <v>481</v>
      </c>
    </row>
    <row r="3" spans="1:11" ht="15.75" thickBot="1" x14ac:dyDescent="0.3">
      <c r="A3" s="1"/>
      <c r="B3" s="11">
        <f>ROW(B3) - ROW($B$2)</f>
        <v>1</v>
      </c>
      <c r="C3" s="12"/>
      <c r="D3" s="7" t="s">
        <v>27</v>
      </c>
      <c r="E3" s="8" t="s">
        <v>138</v>
      </c>
      <c r="F3" s="7" t="s">
        <v>482</v>
      </c>
      <c r="G3" s="8" t="s">
        <v>287</v>
      </c>
      <c r="H3" s="7" t="s">
        <v>388</v>
      </c>
      <c r="I3" s="10" t="s">
        <v>490</v>
      </c>
      <c r="J3" s="7">
        <v>1</v>
      </c>
      <c r="K3" s="7"/>
    </row>
    <row r="4" spans="1:11" ht="24.75" thickBot="1" x14ac:dyDescent="0.3">
      <c r="A4" s="1"/>
      <c r="B4" s="11">
        <f t="shared" ref="B4:B112" si="0">ROW(B4) - ROW($B$2)</f>
        <v>2</v>
      </c>
      <c r="C4" s="13" t="s">
        <v>2</v>
      </c>
      <c r="D4" s="9" t="s">
        <v>28</v>
      </c>
      <c r="E4" s="10" t="s">
        <v>139</v>
      </c>
      <c r="F4" s="9" t="s">
        <v>483</v>
      </c>
      <c r="G4" s="10" t="s">
        <v>288</v>
      </c>
      <c r="H4" s="9" t="s">
        <v>389</v>
      </c>
      <c r="I4" s="10" t="s">
        <v>490</v>
      </c>
      <c r="J4" s="9">
        <v>3</v>
      </c>
      <c r="K4" s="9"/>
    </row>
    <row r="5" spans="1:11" ht="15.75" thickBot="1" x14ac:dyDescent="0.3">
      <c r="A5" s="1"/>
      <c r="B5" s="11">
        <f>ROW(B5) - ROW($B$2)</f>
        <v>3</v>
      </c>
      <c r="C5" s="12" t="s">
        <v>3</v>
      </c>
      <c r="D5" s="7" t="s">
        <v>29</v>
      </c>
      <c r="E5" s="8" t="s">
        <v>140</v>
      </c>
      <c r="F5" s="7" t="s">
        <v>245</v>
      </c>
      <c r="G5" s="8" t="s">
        <v>289</v>
      </c>
      <c r="H5" s="7" t="s">
        <v>390</v>
      </c>
      <c r="I5" s="8" t="s">
        <v>427</v>
      </c>
      <c r="J5" s="7">
        <v>12</v>
      </c>
      <c r="K5" s="7"/>
    </row>
    <row r="6" spans="1:11" ht="15.75" thickBot="1" x14ac:dyDescent="0.3">
      <c r="A6" s="1"/>
      <c r="B6" s="11">
        <f t="shared" si="0"/>
        <v>4</v>
      </c>
      <c r="C6" s="13" t="s">
        <v>4</v>
      </c>
      <c r="D6" s="9" t="s">
        <v>30</v>
      </c>
      <c r="E6" s="10" t="s">
        <v>141</v>
      </c>
      <c r="F6" s="9" t="s">
        <v>246</v>
      </c>
      <c r="G6" s="10" t="s">
        <v>290</v>
      </c>
      <c r="H6" s="9" t="s">
        <v>391</v>
      </c>
      <c r="I6" s="10" t="s">
        <v>428</v>
      </c>
      <c r="J6" s="9">
        <v>2</v>
      </c>
      <c r="K6" s="9"/>
    </row>
    <row r="7" spans="1:11" ht="15.75" thickBot="1" x14ac:dyDescent="0.3">
      <c r="A7" s="1"/>
      <c r="B7" s="11">
        <f>ROW(B7) - ROW($B$2)</f>
        <v>5</v>
      </c>
      <c r="C7" s="12" t="s">
        <v>3</v>
      </c>
      <c r="D7" s="7" t="s">
        <v>31</v>
      </c>
      <c r="E7" s="8" t="s">
        <v>142</v>
      </c>
      <c r="F7" s="7" t="s">
        <v>246</v>
      </c>
      <c r="G7" s="8" t="s">
        <v>291</v>
      </c>
      <c r="H7" s="7" t="s">
        <v>390</v>
      </c>
      <c r="I7" s="8" t="s">
        <v>429</v>
      </c>
      <c r="J7" s="7">
        <v>7</v>
      </c>
      <c r="K7" s="7"/>
    </row>
    <row r="8" spans="1:11" ht="15.75" thickBot="1" x14ac:dyDescent="0.3">
      <c r="A8" s="1"/>
      <c r="B8" s="11">
        <f t="shared" si="0"/>
        <v>6</v>
      </c>
      <c r="C8" s="13" t="s">
        <v>3</v>
      </c>
      <c r="D8" s="9" t="s">
        <v>32</v>
      </c>
      <c r="E8" s="10" t="s">
        <v>143</v>
      </c>
      <c r="F8" s="9" t="s">
        <v>246</v>
      </c>
      <c r="G8" s="10" t="s">
        <v>292</v>
      </c>
      <c r="H8" s="9" t="s">
        <v>390</v>
      </c>
      <c r="I8" s="10" t="s">
        <v>430</v>
      </c>
      <c r="J8" s="9">
        <v>4</v>
      </c>
      <c r="K8" s="9"/>
    </row>
    <row r="9" spans="1:11" ht="24.75" thickBot="1" x14ac:dyDescent="0.3">
      <c r="A9" s="1"/>
      <c r="B9" s="11">
        <f>ROW(B9) - ROW($B$2)</f>
        <v>7</v>
      </c>
      <c r="C9" s="12" t="s">
        <v>3</v>
      </c>
      <c r="D9" s="7" t="s">
        <v>33</v>
      </c>
      <c r="E9" s="8" t="s">
        <v>144</v>
      </c>
      <c r="F9" s="7" t="s">
        <v>246</v>
      </c>
      <c r="G9" s="8" t="s">
        <v>293</v>
      </c>
      <c r="H9" s="7" t="s">
        <v>390</v>
      </c>
      <c r="I9" s="8" t="s">
        <v>431</v>
      </c>
      <c r="J9" s="7">
        <v>3</v>
      </c>
      <c r="K9" s="7"/>
    </row>
    <row r="10" spans="1:11" ht="15.75" thickBot="1" x14ac:dyDescent="0.3">
      <c r="A10" s="1"/>
      <c r="B10" s="11">
        <f t="shared" si="0"/>
        <v>8</v>
      </c>
      <c r="C10" s="13" t="s">
        <v>3</v>
      </c>
      <c r="D10" s="9" t="s">
        <v>34</v>
      </c>
      <c r="E10" s="10" t="s">
        <v>145</v>
      </c>
      <c r="F10" s="9" t="s">
        <v>247</v>
      </c>
      <c r="G10" s="10" t="s">
        <v>294</v>
      </c>
      <c r="H10" s="9" t="s">
        <v>391</v>
      </c>
      <c r="I10" s="10" t="s">
        <v>427</v>
      </c>
      <c r="J10" s="9">
        <v>6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4</v>
      </c>
      <c r="D11" s="7" t="s">
        <v>35</v>
      </c>
      <c r="E11" s="8" t="s">
        <v>146</v>
      </c>
      <c r="F11" s="7" t="s">
        <v>248</v>
      </c>
      <c r="G11" s="8" t="s">
        <v>295</v>
      </c>
      <c r="H11" s="7" t="s">
        <v>391</v>
      </c>
      <c r="I11" s="8" t="s">
        <v>432</v>
      </c>
      <c r="J11" s="7">
        <v>2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4</v>
      </c>
      <c r="D12" s="9" t="s">
        <v>36</v>
      </c>
      <c r="E12" s="10" t="s">
        <v>147</v>
      </c>
      <c r="F12" s="9" t="s">
        <v>248</v>
      </c>
      <c r="G12" s="10" t="s">
        <v>296</v>
      </c>
      <c r="H12" s="9" t="s">
        <v>391</v>
      </c>
      <c r="I12" s="10" t="s">
        <v>433</v>
      </c>
      <c r="J12" s="9">
        <v>1</v>
      </c>
      <c r="K12" s="9"/>
    </row>
    <row r="13" spans="1:11" ht="15.75" thickBot="1" x14ac:dyDescent="0.3">
      <c r="A13" s="1"/>
      <c r="B13" s="15">
        <f>ROW(B13) - ROW($B$2)</f>
        <v>11</v>
      </c>
      <c r="C13" s="16" t="s">
        <v>3</v>
      </c>
      <c r="D13" s="17" t="s">
        <v>37</v>
      </c>
      <c r="E13" s="18" t="s">
        <v>148</v>
      </c>
      <c r="F13" s="17" t="s">
        <v>248</v>
      </c>
      <c r="G13" s="18" t="s">
        <v>297</v>
      </c>
      <c r="H13" s="17" t="s">
        <v>391</v>
      </c>
      <c r="I13" s="19" t="s">
        <v>434</v>
      </c>
      <c r="J13" s="17">
        <v>2</v>
      </c>
      <c r="K13" s="20" t="s">
        <v>491</v>
      </c>
    </row>
    <row r="14" spans="1:11" ht="15.75" thickBot="1" x14ac:dyDescent="0.3">
      <c r="A14" s="1"/>
      <c r="B14" s="11">
        <f t="shared" si="0"/>
        <v>12</v>
      </c>
      <c r="C14" s="13" t="s">
        <v>3</v>
      </c>
      <c r="D14" s="9" t="s">
        <v>38</v>
      </c>
      <c r="E14" s="10" t="s">
        <v>148</v>
      </c>
      <c r="F14" s="9" t="s">
        <v>248</v>
      </c>
      <c r="G14" s="10" t="s">
        <v>297</v>
      </c>
      <c r="H14" s="9" t="s">
        <v>391</v>
      </c>
      <c r="I14" s="10" t="s">
        <v>429</v>
      </c>
      <c r="J14" s="9">
        <v>9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4</v>
      </c>
      <c r="D15" s="7" t="s">
        <v>39</v>
      </c>
      <c r="E15" s="8" t="s">
        <v>149</v>
      </c>
      <c r="F15" s="7" t="s">
        <v>248</v>
      </c>
      <c r="G15" s="8" t="s">
        <v>298</v>
      </c>
      <c r="H15" s="7" t="s">
        <v>391</v>
      </c>
      <c r="I15" s="8" t="s">
        <v>435</v>
      </c>
      <c r="J15" s="7">
        <v>2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4</v>
      </c>
      <c r="D16" s="9" t="s">
        <v>40</v>
      </c>
      <c r="E16" s="10" t="s">
        <v>150</v>
      </c>
      <c r="F16" s="9" t="s">
        <v>248</v>
      </c>
      <c r="G16" s="10" t="s">
        <v>299</v>
      </c>
      <c r="H16" s="9" t="s">
        <v>391</v>
      </c>
      <c r="I16" s="10" t="s">
        <v>436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4</v>
      </c>
      <c r="D17" s="7" t="s">
        <v>41</v>
      </c>
      <c r="E17" s="8" t="s">
        <v>151</v>
      </c>
      <c r="F17" s="7" t="s">
        <v>248</v>
      </c>
      <c r="G17" s="8" t="s">
        <v>300</v>
      </c>
      <c r="H17" s="7" t="s">
        <v>390</v>
      </c>
      <c r="I17" s="8" t="s">
        <v>437</v>
      </c>
      <c r="J17" s="7">
        <v>1</v>
      </c>
      <c r="K17" s="7"/>
    </row>
    <row r="18" spans="1:11" ht="24.75" thickBot="1" x14ac:dyDescent="0.3">
      <c r="A18" s="1"/>
      <c r="B18" s="11">
        <f t="shared" si="0"/>
        <v>16</v>
      </c>
      <c r="C18" s="13" t="s">
        <v>4</v>
      </c>
      <c r="D18" s="9" t="s">
        <v>42</v>
      </c>
      <c r="E18" s="10" t="s">
        <v>152</v>
      </c>
      <c r="F18" s="9" t="s">
        <v>248</v>
      </c>
      <c r="G18" s="10" t="s">
        <v>301</v>
      </c>
      <c r="H18" s="9" t="s">
        <v>392</v>
      </c>
      <c r="I18" s="10" t="s">
        <v>438</v>
      </c>
      <c r="J18" s="9">
        <v>2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4</v>
      </c>
      <c r="D19" s="7" t="s">
        <v>43</v>
      </c>
      <c r="E19" s="8" t="s">
        <v>153</v>
      </c>
      <c r="F19" s="7" t="s">
        <v>248</v>
      </c>
      <c r="G19" s="8" t="s">
        <v>302</v>
      </c>
      <c r="H19" s="7" t="s">
        <v>391</v>
      </c>
      <c r="I19" s="8" t="s">
        <v>439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3</v>
      </c>
      <c r="D20" s="9" t="s">
        <v>44</v>
      </c>
      <c r="E20" s="10" t="s">
        <v>154</v>
      </c>
      <c r="F20" s="9" t="s">
        <v>246</v>
      </c>
      <c r="G20" s="10" t="s">
        <v>303</v>
      </c>
      <c r="H20" s="9" t="s">
        <v>391</v>
      </c>
      <c r="I20" s="10" t="s">
        <v>440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/>
      <c r="D21" s="7" t="s">
        <v>45</v>
      </c>
      <c r="E21" s="8" t="s">
        <v>155</v>
      </c>
      <c r="F21" s="7" t="s">
        <v>248</v>
      </c>
      <c r="G21" s="8" t="s">
        <v>304</v>
      </c>
      <c r="H21" s="7" t="s">
        <v>393</v>
      </c>
      <c r="I21" s="8" t="s">
        <v>430</v>
      </c>
      <c r="J21" s="7">
        <v>3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4</v>
      </c>
      <c r="D22" s="9" t="s">
        <v>46</v>
      </c>
      <c r="E22" s="10" t="s">
        <v>156</v>
      </c>
      <c r="F22" s="9" t="s">
        <v>482</v>
      </c>
      <c r="G22" s="10" t="s">
        <v>249</v>
      </c>
      <c r="H22" s="9" t="s">
        <v>394</v>
      </c>
      <c r="I22" s="10" t="s">
        <v>441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4</v>
      </c>
      <c r="D23" s="7" t="s">
        <v>47</v>
      </c>
      <c r="E23" s="8" t="s">
        <v>157</v>
      </c>
      <c r="F23" s="7" t="s">
        <v>246</v>
      </c>
      <c r="G23" s="8" t="s">
        <v>305</v>
      </c>
      <c r="H23" s="7" t="s">
        <v>390</v>
      </c>
      <c r="I23" s="8" t="s">
        <v>442</v>
      </c>
      <c r="J23" s="7">
        <v>7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4</v>
      </c>
      <c r="D24" s="9" t="s">
        <v>48</v>
      </c>
      <c r="E24" s="10" t="s">
        <v>148</v>
      </c>
      <c r="F24" s="9" t="s">
        <v>248</v>
      </c>
      <c r="G24" s="10" t="s">
        <v>306</v>
      </c>
      <c r="H24" s="9" t="s">
        <v>391</v>
      </c>
      <c r="I24" s="10" t="s">
        <v>429</v>
      </c>
      <c r="J24" s="9">
        <v>2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4</v>
      </c>
      <c r="D25" s="7" t="s">
        <v>49</v>
      </c>
      <c r="E25" s="8" t="s">
        <v>158</v>
      </c>
      <c r="F25" s="7" t="s">
        <v>245</v>
      </c>
      <c r="G25" s="8" t="s">
        <v>307</v>
      </c>
      <c r="H25" s="7" t="s">
        <v>390</v>
      </c>
      <c r="I25" s="8" t="s">
        <v>443</v>
      </c>
      <c r="J25" s="7">
        <v>2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3</v>
      </c>
      <c r="D26" s="9" t="s">
        <v>50</v>
      </c>
      <c r="E26" s="10" t="s">
        <v>159</v>
      </c>
      <c r="F26" s="9" t="s">
        <v>248</v>
      </c>
      <c r="G26" s="10" t="s">
        <v>308</v>
      </c>
      <c r="H26" s="9" t="s">
        <v>390</v>
      </c>
      <c r="I26" s="10" t="s">
        <v>432</v>
      </c>
      <c r="J26" s="9">
        <v>1</v>
      </c>
      <c r="K26" s="9"/>
    </row>
    <row r="27" spans="1:11" ht="36.75" thickBot="1" x14ac:dyDescent="0.3">
      <c r="A27" s="1"/>
      <c r="B27" s="11">
        <f>ROW(B27) - ROW($B$2)</f>
        <v>25</v>
      </c>
      <c r="C27" s="12" t="s">
        <v>4</v>
      </c>
      <c r="D27" s="7" t="s">
        <v>51</v>
      </c>
      <c r="E27" s="8" t="s">
        <v>160</v>
      </c>
      <c r="F27" s="7" t="s">
        <v>482</v>
      </c>
      <c r="G27" s="8" t="s">
        <v>250</v>
      </c>
      <c r="H27" s="7" t="s">
        <v>395</v>
      </c>
      <c r="I27" s="8" t="s">
        <v>442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3</v>
      </c>
      <c r="D28" s="9" t="s">
        <v>52</v>
      </c>
      <c r="E28" s="10" t="s">
        <v>142</v>
      </c>
      <c r="F28" s="9" t="s">
        <v>246</v>
      </c>
      <c r="G28" s="10" t="s">
        <v>309</v>
      </c>
      <c r="H28" s="9" t="s">
        <v>391</v>
      </c>
      <c r="I28" s="10" t="s">
        <v>429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4</v>
      </c>
      <c r="D29" s="7" t="s">
        <v>53</v>
      </c>
      <c r="E29" s="8" t="s">
        <v>161</v>
      </c>
      <c r="F29" s="7" t="s">
        <v>246</v>
      </c>
      <c r="G29" s="8" t="s">
        <v>310</v>
      </c>
      <c r="H29" s="7" t="s">
        <v>396</v>
      </c>
      <c r="I29" s="8" t="s">
        <v>444</v>
      </c>
      <c r="J29" s="7">
        <v>2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4</v>
      </c>
      <c r="D30" s="9" t="s">
        <v>54</v>
      </c>
      <c r="E30" s="10" t="s">
        <v>162</v>
      </c>
      <c r="F30" s="9" t="s">
        <v>246</v>
      </c>
      <c r="G30" s="10" t="s">
        <v>311</v>
      </c>
      <c r="H30" s="9" t="s">
        <v>391</v>
      </c>
      <c r="I30" s="10" t="s">
        <v>445</v>
      </c>
      <c r="J30" s="9">
        <v>1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4</v>
      </c>
      <c r="D31" s="7" t="s">
        <v>55</v>
      </c>
      <c r="E31" s="8" t="s">
        <v>163</v>
      </c>
      <c r="F31" s="7" t="s">
        <v>248</v>
      </c>
      <c r="G31" s="8" t="s">
        <v>312</v>
      </c>
      <c r="H31" s="7" t="s">
        <v>391</v>
      </c>
      <c r="I31" s="8" t="s">
        <v>446</v>
      </c>
      <c r="J31" s="7">
        <v>2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4</v>
      </c>
      <c r="D32" s="9" t="s">
        <v>56</v>
      </c>
      <c r="E32" s="10" t="s">
        <v>164</v>
      </c>
      <c r="F32" s="9" t="s">
        <v>246</v>
      </c>
      <c r="G32" s="10" t="s">
        <v>313</v>
      </c>
      <c r="H32" s="9" t="s">
        <v>391</v>
      </c>
      <c r="I32" s="10" t="s">
        <v>447</v>
      </c>
      <c r="J32" s="9">
        <v>3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3</v>
      </c>
      <c r="D33" s="7" t="s">
        <v>57</v>
      </c>
      <c r="E33" s="8" t="s">
        <v>165</v>
      </c>
      <c r="F33" s="7" t="s">
        <v>246</v>
      </c>
      <c r="G33" s="8" t="s">
        <v>314</v>
      </c>
      <c r="H33" s="7" t="s">
        <v>391</v>
      </c>
      <c r="I33" s="8" t="s">
        <v>448</v>
      </c>
      <c r="J33" s="7">
        <v>3</v>
      </c>
      <c r="K33" s="7"/>
    </row>
    <row r="34" spans="1:11" ht="36.75" thickBot="1" x14ac:dyDescent="0.3">
      <c r="A34" s="1"/>
      <c r="B34" s="11">
        <f t="shared" si="0"/>
        <v>32</v>
      </c>
      <c r="C34" s="13" t="s">
        <v>4</v>
      </c>
      <c r="D34" s="9" t="s">
        <v>58</v>
      </c>
      <c r="E34" s="10" t="s">
        <v>166</v>
      </c>
      <c r="F34" s="9" t="s">
        <v>251</v>
      </c>
      <c r="G34" s="10" t="s">
        <v>315</v>
      </c>
      <c r="H34" s="9" t="s">
        <v>397</v>
      </c>
      <c r="I34" s="10" t="s">
        <v>449</v>
      </c>
      <c r="J34" s="9">
        <v>3</v>
      </c>
      <c r="K34" s="9"/>
    </row>
    <row r="35" spans="1:11" ht="24.75" thickBot="1" x14ac:dyDescent="0.3">
      <c r="A35" s="1"/>
      <c r="B35" s="11">
        <f>ROW(B35) - ROW($B$2)</f>
        <v>33</v>
      </c>
      <c r="C35" s="12" t="s">
        <v>4</v>
      </c>
      <c r="D35" s="7" t="s">
        <v>59</v>
      </c>
      <c r="E35" s="8" t="s">
        <v>167</v>
      </c>
      <c r="F35" s="7" t="s">
        <v>246</v>
      </c>
      <c r="G35" s="8" t="s">
        <v>316</v>
      </c>
      <c r="H35" s="7" t="s">
        <v>398</v>
      </c>
      <c r="I35" s="8" t="s">
        <v>450</v>
      </c>
      <c r="J35" s="7">
        <v>12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4</v>
      </c>
      <c r="D36" s="9" t="s">
        <v>60</v>
      </c>
      <c r="E36" s="10" t="s">
        <v>168</v>
      </c>
      <c r="F36" s="9" t="s">
        <v>246</v>
      </c>
      <c r="G36" s="10" t="s">
        <v>317</v>
      </c>
      <c r="H36" s="9" t="s">
        <v>391</v>
      </c>
      <c r="I36" s="10" t="s">
        <v>429</v>
      </c>
      <c r="J36" s="9">
        <v>3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4</v>
      </c>
      <c r="D37" s="7" t="s">
        <v>61</v>
      </c>
      <c r="E37" s="8" t="s">
        <v>169</v>
      </c>
      <c r="F37" s="7" t="s">
        <v>252</v>
      </c>
      <c r="G37" s="8" t="s">
        <v>318</v>
      </c>
      <c r="H37" s="7" t="s">
        <v>390</v>
      </c>
      <c r="I37" s="8" t="s">
        <v>451</v>
      </c>
      <c r="J37" s="7">
        <v>3</v>
      </c>
      <c r="K37" s="7"/>
    </row>
    <row r="38" spans="1:11" ht="15.75" thickBot="1" x14ac:dyDescent="0.3">
      <c r="A38" s="1"/>
      <c r="B38" s="11">
        <f t="shared" si="0"/>
        <v>36</v>
      </c>
      <c r="C38" s="13"/>
      <c r="D38" s="9" t="s">
        <v>62</v>
      </c>
      <c r="E38" s="10" t="s">
        <v>170</v>
      </c>
      <c r="F38" s="9" t="s">
        <v>246</v>
      </c>
      <c r="G38" s="10" t="s">
        <v>319</v>
      </c>
      <c r="H38" s="9" t="s">
        <v>391</v>
      </c>
      <c r="I38" s="10" t="s">
        <v>452</v>
      </c>
      <c r="J38" s="9">
        <v>3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2</v>
      </c>
      <c r="D39" s="7" t="s">
        <v>63</v>
      </c>
      <c r="E39" s="8" t="s">
        <v>171</v>
      </c>
      <c r="F39" s="7" t="s">
        <v>253</v>
      </c>
      <c r="G39" s="8" t="s">
        <v>320</v>
      </c>
      <c r="H39" s="7" t="s">
        <v>399</v>
      </c>
      <c r="I39" s="10" t="s">
        <v>490</v>
      </c>
      <c r="J39" s="7">
        <v>6</v>
      </c>
      <c r="K39" s="7"/>
    </row>
    <row r="40" spans="1:11" ht="24.75" thickBot="1" x14ac:dyDescent="0.3">
      <c r="A40" s="1"/>
      <c r="B40" s="11">
        <f t="shared" si="0"/>
        <v>38</v>
      </c>
      <c r="C40" s="13" t="s">
        <v>5</v>
      </c>
      <c r="D40" s="9" t="s">
        <v>64</v>
      </c>
      <c r="E40" s="10" t="s">
        <v>172</v>
      </c>
      <c r="F40" s="9" t="s">
        <v>254</v>
      </c>
      <c r="G40" s="10" t="s">
        <v>321</v>
      </c>
      <c r="H40" s="9" t="s">
        <v>389</v>
      </c>
      <c r="I40" s="10" t="s">
        <v>490</v>
      </c>
      <c r="J40" s="9">
        <v>4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6</v>
      </c>
      <c r="D41" s="7" t="s">
        <v>65</v>
      </c>
      <c r="E41" s="8" t="s">
        <v>173</v>
      </c>
      <c r="F41" s="7" t="s">
        <v>255</v>
      </c>
      <c r="G41" s="8" t="s">
        <v>322</v>
      </c>
      <c r="H41" s="7" t="s">
        <v>400</v>
      </c>
      <c r="I41" s="10" t="s">
        <v>490</v>
      </c>
      <c r="J41" s="7">
        <v>1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2</v>
      </c>
      <c r="D42" s="9" t="s">
        <v>66</v>
      </c>
      <c r="E42" s="10" t="s">
        <v>174</v>
      </c>
      <c r="F42" s="9" t="s">
        <v>256</v>
      </c>
      <c r="G42" s="10" t="s">
        <v>323</v>
      </c>
      <c r="H42" s="9" t="s">
        <v>401</v>
      </c>
      <c r="I42" s="10" t="s">
        <v>490</v>
      </c>
      <c r="J42" s="9">
        <v>3</v>
      </c>
      <c r="K42" s="9"/>
    </row>
    <row r="43" spans="1:11" ht="15.75" thickBot="1" x14ac:dyDescent="0.3">
      <c r="A43" s="1"/>
      <c r="B43" s="11">
        <f>ROW(B43) - ROW($B$2)</f>
        <v>41</v>
      </c>
      <c r="C43" s="12" t="s">
        <v>7</v>
      </c>
      <c r="D43" s="7" t="s">
        <v>67</v>
      </c>
      <c r="E43" s="8" t="s">
        <v>175</v>
      </c>
      <c r="F43" s="7" t="s">
        <v>257</v>
      </c>
      <c r="G43" s="8" t="s">
        <v>324</v>
      </c>
      <c r="H43" s="7" t="s">
        <v>390</v>
      </c>
      <c r="I43" s="10" t="s">
        <v>490</v>
      </c>
      <c r="J43" s="7">
        <v>4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7</v>
      </c>
      <c r="D44" s="9" t="s">
        <v>68</v>
      </c>
      <c r="E44" s="10" t="s">
        <v>176</v>
      </c>
      <c r="F44" s="9" t="s">
        <v>257</v>
      </c>
      <c r="G44" s="10" t="s">
        <v>325</v>
      </c>
      <c r="H44" s="9" t="s">
        <v>390</v>
      </c>
      <c r="I44" s="10" t="s">
        <v>490</v>
      </c>
      <c r="J44" s="9">
        <v>1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8</v>
      </c>
      <c r="D45" s="7" t="s">
        <v>69</v>
      </c>
      <c r="E45" s="8" t="s">
        <v>177</v>
      </c>
      <c r="F45" s="7" t="s">
        <v>257</v>
      </c>
      <c r="G45" s="8" t="s">
        <v>326</v>
      </c>
      <c r="H45" s="7" t="s">
        <v>402</v>
      </c>
      <c r="I45" s="10" t="s">
        <v>490</v>
      </c>
      <c r="J45" s="7">
        <v>1</v>
      </c>
      <c r="K45" s="7"/>
    </row>
    <row r="46" spans="1:11" ht="24.75" thickBot="1" x14ac:dyDescent="0.3">
      <c r="A46" s="1"/>
      <c r="B46" s="11">
        <f t="shared" si="0"/>
        <v>44</v>
      </c>
      <c r="C46" s="13" t="s">
        <v>9</v>
      </c>
      <c r="D46" s="9" t="s">
        <v>70</v>
      </c>
      <c r="E46" s="10" t="s">
        <v>178</v>
      </c>
      <c r="F46" s="9" t="s">
        <v>482</v>
      </c>
      <c r="G46" s="10" t="s">
        <v>327</v>
      </c>
      <c r="H46" s="9" t="s">
        <v>403</v>
      </c>
      <c r="I46" s="10" t="s">
        <v>490</v>
      </c>
      <c r="J46" s="9">
        <v>1</v>
      </c>
      <c r="K46" s="9"/>
    </row>
    <row r="47" spans="1:11" ht="60.75" thickBot="1" x14ac:dyDescent="0.3">
      <c r="A47" s="1"/>
      <c r="B47" s="11">
        <f>ROW(B47) - ROW($B$2)</f>
        <v>45</v>
      </c>
      <c r="C47" s="12" t="s">
        <v>10</v>
      </c>
      <c r="D47" s="7" t="s">
        <v>71</v>
      </c>
      <c r="E47" s="8" t="s">
        <v>179</v>
      </c>
      <c r="F47" s="7" t="s">
        <v>482</v>
      </c>
      <c r="G47" s="8" t="s">
        <v>258</v>
      </c>
      <c r="H47" s="7" t="s">
        <v>404</v>
      </c>
      <c r="I47" s="10" t="s">
        <v>490</v>
      </c>
      <c r="J47" s="7">
        <v>1</v>
      </c>
      <c r="K47" s="7"/>
    </row>
    <row r="48" spans="1:11" ht="48.75" thickBot="1" x14ac:dyDescent="0.3">
      <c r="A48" s="1"/>
      <c r="B48" s="11">
        <f t="shared" si="0"/>
        <v>46</v>
      </c>
      <c r="C48" s="13" t="s">
        <v>10</v>
      </c>
      <c r="D48" s="9" t="s">
        <v>72</v>
      </c>
      <c r="E48" s="10" t="s">
        <v>180</v>
      </c>
      <c r="F48" s="9" t="s">
        <v>482</v>
      </c>
      <c r="G48" s="10" t="s">
        <v>328</v>
      </c>
      <c r="H48" s="9" t="s">
        <v>404</v>
      </c>
      <c r="I48" s="10" t="s">
        <v>490</v>
      </c>
      <c r="J48" s="9">
        <v>1</v>
      </c>
      <c r="K48" s="9"/>
    </row>
    <row r="49" spans="1:11" ht="15.75" thickBot="1" x14ac:dyDescent="0.3">
      <c r="A49" s="1"/>
      <c r="B49" s="11">
        <f>ROW(B49) - ROW($B$2)</f>
        <v>47</v>
      </c>
      <c r="C49" s="12"/>
      <c r="D49" s="7" t="s">
        <v>73</v>
      </c>
      <c r="E49" s="8" t="s">
        <v>181</v>
      </c>
      <c r="F49" s="7" t="s">
        <v>482</v>
      </c>
      <c r="G49" s="8" t="s">
        <v>329</v>
      </c>
      <c r="H49" s="7" t="s">
        <v>405</v>
      </c>
      <c r="I49" s="10" t="s">
        <v>490</v>
      </c>
      <c r="J49" s="7">
        <v>1</v>
      </c>
      <c r="K49" s="7"/>
    </row>
    <row r="50" spans="1:11" ht="60.75" thickBot="1" x14ac:dyDescent="0.3">
      <c r="A50" s="1"/>
      <c r="B50" s="11">
        <f t="shared" si="0"/>
        <v>48</v>
      </c>
      <c r="C50" s="13" t="s">
        <v>10</v>
      </c>
      <c r="D50" s="9" t="s">
        <v>74</v>
      </c>
      <c r="E50" s="10" t="s">
        <v>182</v>
      </c>
      <c r="F50" s="9" t="s">
        <v>482</v>
      </c>
      <c r="G50" s="10" t="s">
        <v>259</v>
      </c>
      <c r="H50" s="9" t="s">
        <v>404</v>
      </c>
      <c r="I50" s="10" t="s">
        <v>490</v>
      </c>
      <c r="J50" s="9">
        <v>1</v>
      </c>
      <c r="K50" s="9"/>
    </row>
    <row r="51" spans="1:11" ht="48.75" thickBot="1" x14ac:dyDescent="0.3">
      <c r="A51" s="1"/>
      <c r="B51" s="11">
        <f>ROW(B51) - ROW($B$2)</f>
        <v>49</v>
      </c>
      <c r="C51" s="12" t="s">
        <v>10</v>
      </c>
      <c r="D51" s="7" t="s">
        <v>75</v>
      </c>
      <c r="E51" s="8" t="s">
        <v>183</v>
      </c>
      <c r="F51" s="7" t="s">
        <v>482</v>
      </c>
      <c r="G51" s="8" t="s">
        <v>330</v>
      </c>
      <c r="H51" s="7" t="s">
        <v>404</v>
      </c>
      <c r="I51" s="10" t="s">
        <v>490</v>
      </c>
      <c r="J51" s="7">
        <v>1</v>
      </c>
      <c r="K51" s="7"/>
    </row>
    <row r="52" spans="1:11" ht="36.75" thickBot="1" x14ac:dyDescent="0.3">
      <c r="A52" s="1"/>
      <c r="B52" s="11">
        <f t="shared" si="0"/>
        <v>50</v>
      </c>
      <c r="C52" s="13" t="s">
        <v>10</v>
      </c>
      <c r="D52" s="9" t="s">
        <v>76</v>
      </c>
      <c r="E52" s="10" t="s">
        <v>184</v>
      </c>
      <c r="F52" s="7" t="s">
        <v>482</v>
      </c>
      <c r="G52" s="10" t="s">
        <v>260</v>
      </c>
      <c r="H52" s="9" t="s">
        <v>404</v>
      </c>
      <c r="I52" s="10" t="s">
        <v>490</v>
      </c>
      <c r="J52" s="9">
        <v>1</v>
      </c>
      <c r="K52" s="9"/>
    </row>
    <row r="53" spans="1:11" ht="36.75" thickBot="1" x14ac:dyDescent="0.3">
      <c r="A53" s="1"/>
      <c r="B53" s="11">
        <f>ROW(B53) - ROW($B$2)</f>
        <v>51</v>
      </c>
      <c r="C53" s="12" t="s">
        <v>10</v>
      </c>
      <c r="D53" s="7" t="s">
        <v>77</v>
      </c>
      <c r="E53" s="8" t="s">
        <v>184</v>
      </c>
      <c r="F53" s="7" t="s">
        <v>482</v>
      </c>
      <c r="G53" s="8" t="s">
        <v>261</v>
      </c>
      <c r="H53" s="7" t="s">
        <v>404</v>
      </c>
      <c r="I53" s="10" t="s">
        <v>490</v>
      </c>
      <c r="J53" s="7">
        <v>1</v>
      </c>
      <c r="K53" s="7"/>
    </row>
    <row r="54" spans="1:11" ht="24.75" thickBot="1" x14ac:dyDescent="0.3">
      <c r="A54" s="1"/>
      <c r="B54" s="11">
        <f t="shared" si="0"/>
        <v>52</v>
      </c>
      <c r="C54" s="13" t="s">
        <v>11</v>
      </c>
      <c r="D54" s="9" t="s">
        <v>78</v>
      </c>
      <c r="E54" s="10" t="s">
        <v>185</v>
      </c>
      <c r="F54" s="9" t="s">
        <v>262</v>
      </c>
      <c r="G54" s="10" t="s">
        <v>331</v>
      </c>
      <c r="H54" s="9" t="s">
        <v>390</v>
      </c>
      <c r="I54" s="10" t="s">
        <v>453</v>
      </c>
      <c r="J54" s="9">
        <v>1</v>
      </c>
      <c r="K54" s="9"/>
    </row>
    <row r="55" spans="1:11" ht="24.75" thickBot="1" x14ac:dyDescent="0.3">
      <c r="A55" s="1"/>
      <c r="B55" s="11">
        <f>ROW(B55) - ROW($B$2)</f>
        <v>53</v>
      </c>
      <c r="C55" s="12" t="s">
        <v>12</v>
      </c>
      <c r="D55" s="7" t="s">
        <v>79</v>
      </c>
      <c r="E55" s="8" t="s">
        <v>186</v>
      </c>
      <c r="F55" s="7" t="s">
        <v>484</v>
      </c>
      <c r="G55" s="8" t="s">
        <v>332</v>
      </c>
      <c r="H55" s="7" t="s">
        <v>402</v>
      </c>
      <c r="I55" s="8" t="s">
        <v>454</v>
      </c>
      <c r="J55" s="7">
        <v>1</v>
      </c>
      <c r="K55" s="7"/>
    </row>
    <row r="56" spans="1:11" ht="24.75" thickBot="1" x14ac:dyDescent="0.3">
      <c r="A56" s="1"/>
      <c r="B56" s="11">
        <f t="shared" si="0"/>
        <v>54</v>
      </c>
      <c r="C56" s="13" t="s">
        <v>12</v>
      </c>
      <c r="D56" s="9" t="s">
        <v>80</v>
      </c>
      <c r="E56" s="10" t="s">
        <v>187</v>
      </c>
      <c r="F56" s="9" t="s">
        <v>263</v>
      </c>
      <c r="G56" s="10" t="s">
        <v>333</v>
      </c>
      <c r="H56" s="9" t="s">
        <v>390</v>
      </c>
      <c r="I56" s="10" t="s">
        <v>455</v>
      </c>
      <c r="J56" s="9">
        <v>2</v>
      </c>
      <c r="K56" s="9"/>
    </row>
    <row r="57" spans="1:11" ht="24.75" thickBot="1" x14ac:dyDescent="0.3">
      <c r="A57" s="1"/>
      <c r="B57" s="15">
        <f>ROW(B57) - ROW($B$2)</f>
        <v>55</v>
      </c>
      <c r="C57" s="16" t="s">
        <v>11</v>
      </c>
      <c r="D57" s="17" t="s">
        <v>81</v>
      </c>
      <c r="E57" s="18" t="s">
        <v>188</v>
      </c>
      <c r="F57" s="17" t="s">
        <v>263</v>
      </c>
      <c r="G57" s="18" t="s">
        <v>334</v>
      </c>
      <c r="H57" s="17" t="s">
        <v>390</v>
      </c>
      <c r="I57" s="19" t="s">
        <v>434</v>
      </c>
      <c r="J57" s="17">
        <v>1</v>
      </c>
      <c r="K57" s="20" t="s">
        <v>491</v>
      </c>
    </row>
    <row r="58" spans="1:11" ht="36.75" thickBot="1" x14ac:dyDescent="0.3">
      <c r="A58" s="1"/>
      <c r="B58" s="11">
        <f t="shared" si="0"/>
        <v>56</v>
      </c>
      <c r="C58" s="13" t="s">
        <v>11</v>
      </c>
      <c r="D58" s="9" t="s">
        <v>82</v>
      </c>
      <c r="E58" s="10" t="s">
        <v>189</v>
      </c>
      <c r="F58" s="9" t="s">
        <v>482</v>
      </c>
      <c r="G58" s="10" t="s">
        <v>264</v>
      </c>
      <c r="H58" s="9" t="s">
        <v>406</v>
      </c>
      <c r="I58" s="10" t="s">
        <v>456</v>
      </c>
      <c r="J58" s="9">
        <v>1</v>
      </c>
      <c r="K58" s="9"/>
    </row>
    <row r="59" spans="1:11" ht="36.75" thickBot="1" x14ac:dyDescent="0.3">
      <c r="A59" s="1"/>
      <c r="B59" s="11">
        <f>ROW(B59) - ROW($B$2)</f>
        <v>57</v>
      </c>
      <c r="C59" s="12" t="s">
        <v>11</v>
      </c>
      <c r="D59" s="7" t="s">
        <v>83</v>
      </c>
      <c r="E59" s="8" t="s">
        <v>190</v>
      </c>
      <c r="F59" s="9" t="s">
        <v>482</v>
      </c>
      <c r="G59" s="8" t="s">
        <v>335</v>
      </c>
      <c r="H59" s="7" t="s">
        <v>407</v>
      </c>
      <c r="I59" s="8" t="s">
        <v>457</v>
      </c>
      <c r="J59" s="7">
        <v>1</v>
      </c>
      <c r="K59" s="7"/>
    </row>
    <row r="60" spans="1:11" ht="24.75" thickBot="1" x14ac:dyDescent="0.3">
      <c r="A60" s="1"/>
      <c r="B60" s="11">
        <f t="shared" si="0"/>
        <v>58</v>
      </c>
      <c r="C60" s="13" t="s">
        <v>13</v>
      </c>
      <c r="D60" s="9" t="s">
        <v>84</v>
      </c>
      <c r="E60" s="10" t="s">
        <v>191</v>
      </c>
      <c r="F60" s="9" t="s">
        <v>265</v>
      </c>
      <c r="G60" s="10" t="s">
        <v>336</v>
      </c>
      <c r="H60" s="9" t="s">
        <v>408</v>
      </c>
      <c r="I60" s="10" t="s">
        <v>490</v>
      </c>
      <c r="J60" s="9">
        <v>5</v>
      </c>
      <c r="K60" s="9"/>
    </row>
    <row r="61" spans="1:11" ht="24.75" thickBot="1" x14ac:dyDescent="0.3">
      <c r="A61" s="1"/>
      <c r="B61" s="11">
        <f>ROW(B61) - ROW($B$2)</f>
        <v>59</v>
      </c>
      <c r="C61" s="12" t="s">
        <v>13</v>
      </c>
      <c r="D61" s="7" t="s">
        <v>85</v>
      </c>
      <c r="E61" s="8" t="s">
        <v>192</v>
      </c>
      <c r="F61" s="7" t="s">
        <v>265</v>
      </c>
      <c r="G61" s="8" t="s">
        <v>337</v>
      </c>
      <c r="H61" s="7" t="s">
        <v>408</v>
      </c>
      <c r="I61" s="10" t="s">
        <v>490</v>
      </c>
      <c r="J61" s="7">
        <v>1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14</v>
      </c>
      <c r="D62" s="9" t="s">
        <v>86</v>
      </c>
      <c r="E62" s="10" t="s">
        <v>193</v>
      </c>
      <c r="F62" s="9" t="s">
        <v>266</v>
      </c>
      <c r="G62" s="10" t="s">
        <v>338</v>
      </c>
      <c r="H62" s="9" t="s">
        <v>409</v>
      </c>
      <c r="I62" s="10" t="s">
        <v>490</v>
      </c>
      <c r="J62" s="9">
        <v>3</v>
      </c>
      <c r="K62" s="9"/>
    </row>
    <row r="63" spans="1:11" ht="15.75" thickBot="1" x14ac:dyDescent="0.3">
      <c r="A63" s="1"/>
      <c r="B63" s="11">
        <f>ROW(B63) - ROW($B$2)</f>
        <v>61</v>
      </c>
      <c r="C63" s="12" t="s">
        <v>15</v>
      </c>
      <c r="D63" s="7" t="s">
        <v>87</v>
      </c>
      <c r="E63" s="8" t="s">
        <v>194</v>
      </c>
      <c r="F63" s="7" t="s">
        <v>267</v>
      </c>
      <c r="G63" s="8" t="s">
        <v>339</v>
      </c>
      <c r="H63" s="7" t="s">
        <v>400</v>
      </c>
      <c r="I63" s="10" t="s">
        <v>490</v>
      </c>
      <c r="J63" s="7">
        <v>3</v>
      </c>
      <c r="K63" s="7"/>
    </row>
    <row r="64" spans="1:11" ht="24.75" thickBot="1" x14ac:dyDescent="0.3">
      <c r="A64" s="1"/>
      <c r="B64" s="11">
        <f t="shared" si="0"/>
        <v>62</v>
      </c>
      <c r="C64" s="13" t="s">
        <v>16</v>
      </c>
      <c r="D64" s="9" t="s">
        <v>88</v>
      </c>
      <c r="E64" s="10" t="s">
        <v>195</v>
      </c>
      <c r="F64" s="9" t="s">
        <v>253</v>
      </c>
      <c r="G64" s="10" t="s">
        <v>340</v>
      </c>
      <c r="H64" s="9" t="s">
        <v>410</v>
      </c>
      <c r="I64" s="10" t="s">
        <v>490</v>
      </c>
      <c r="J64" s="9">
        <v>3</v>
      </c>
      <c r="K64" s="9"/>
    </row>
    <row r="65" spans="1:11" ht="15.75" thickBot="1" x14ac:dyDescent="0.3">
      <c r="A65" s="1"/>
      <c r="B65" s="11">
        <f>ROW(B65) - ROW($B$2)</f>
        <v>63</v>
      </c>
      <c r="C65" s="12" t="s">
        <v>17</v>
      </c>
      <c r="D65" s="7" t="s">
        <v>89</v>
      </c>
      <c r="E65" s="8" t="s">
        <v>196</v>
      </c>
      <c r="F65" s="7" t="s">
        <v>268</v>
      </c>
      <c r="G65" s="8" t="s">
        <v>341</v>
      </c>
      <c r="H65" s="7" t="s">
        <v>391</v>
      </c>
      <c r="I65" s="8" t="s">
        <v>458</v>
      </c>
      <c r="J65" s="7">
        <v>10</v>
      </c>
      <c r="K65" s="7"/>
    </row>
    <row r="66" spans="1:11" ht="15.75" thickBot="1" x14ac:dyDescent="0.3">
      <c r="A66" s="1"/>
      <c r="B66" s="11">
        <f t="shared" si="0"/>
        <v>64</v>
      </c>
      <c r="C66" s="13" t="s">
        <v>17</v>
      </c>
      <c r="D66" s="9" t="s">
        <v>90</v>
      </c>
      <c r="E66" s="10" t="s">
        <v>197</v>
      </c>
      <c r="F66" s="9" t="s">
        <v>268</v>
      </c>
      <c r="G66" s="10" t="s">
        <v>342</v>
      </c>
      <c r="H66" s="9" t="s">
        <v>391</v>
      </c>
      <c r="I66" s="10" t="s">
        <v>459</v>
      </c>
      <c r="J66" s="9">
        <v>6</v>
      </c>
      <c r="K66" s="9"/>
    </row>
    <row r="67" spans="1:11" ht="15.75" thickBot="1" x14ac:dyDescent="0.3">
      <c r="A67" s="1"/>
      <c r="B67" s="11">
        <f>ROW(B67) - ROW($B$2)</f>
        <v>65</v>
      </c>
      <c r="C67" s="12" t="s">
        <v>18</v>
      </c>
      <c r="D67" s="7" t="s">
        <v>91</v>
      </c>
      <c r="E67" s="8" t="s">
        <v>198</v>
      </c>
      <c r="F67" s="7" t="s">
        <v>269</v>
      </c>
      <c r="G67" s="8" t="s">
        <v>343</v>
      </c>
      <c r="H67" s="7" t="s">
        <v>391</v>
      </c>
      <c r="I67" s="8" t="s">
        <v>460</v>
      </c>
      <c r="J67" s="7">
        <v>6</v>
      </c>
      <c r="K67" s="7"/>
    </row>
    <row r="68" spans="1:11" ht="15.75" thickBot="1" x14ac:dyDescent="0.3">
      <c r="A68" s="1"/>
      <c r="B68" s="11">
        <f t="shared" si="0"/>
        <v>66</v>
      </c>
      <c r="C68" s="13" t="s">
        <v>17</v>
      </c>
      <c r="D68" s="9" t="s">
        <v>92</v>
      </c>
      <c r="E68" s="10" t="s">
        <v>199</v>
      </c>
      <c r="F68" s="9" t="s">
        <v>270</v>
      </c>
      <c r="G68" s="10" t="s">
        <v>344</v>
      </c>
      <c r="H68" s="9" t="s">
        <v>391</v>
      </c>
      <c r="I68" s="10" t="s">
        <v>461</v>
      </c>
      <c r="J68" s="9">
        <v>4</v>
      </c>
      <c r="K68" s="9"/>
    </row>
    <row r="69" spans="1:11" ht="15.75" thickBot="1" x14ac:dyDescent="0.3">
      <c r="A69" s="1"/>
      <c r="B69" s="11">
        <f>ROW(B69) - ROW($B$2)</f>
        <v>67</v>
      </c>
      <c r="C69" s="12" t="s">
        <v>17</v>
      </c>
      <c r="D69" s="7" t="s">
        <v>93</v>
      </c>
      <c r="E69" s="8" t="s">
        <v>200</v>
      </c>
      <c r="F69" s="7" t="s">
        <v>268</v>
      </c>
      <c r="G69" s="8" t="s">
        <v>345</v>
      </c>
      <c r="H69" s="7" t="s">
        <v>391</v>
      </c>
      <c r="I69" s="8" t="s">
        <v>462</v>
      </c>
      <c r="J69" s="7">
        <v>1</v>
      </c>
      <c r="K69" s="7"/>
    </row>
    <row r="70" spans="1:11" ht="15.75" thickBot="1" x14ac:dyDescent="0.3">
      <c r="A70" s="1"/>
      <c r="B70" s="11">
        <f t="shared" si="0"/>
        <v>68</v>
      </c>
      <c r="C70" s="13" t="s">
        <v>17</v>
      </c>
      <c r="D70" s="9" t="s">
        <v>94</v>
      </c>
      <c r="E70" s="10" t="s">
        <v>201</v>
      </c>
      <c r="F70" s="9" t="s">
        <v>268</v>
      </c>
      <c r="G70" s="10" t="s">
        <v>346</v>
      </c>
      <c r="H70" s="9" t="s">
        <v>391</v>
      </c>
      <c r="I70" s="10" t="s">
        <v>463</v>
      </c>
      <c r="J70" s="9">
        <v>4</v>
      </c>
      <c r="K70" s="9"/>
    </row>
    <row r="71" spans="1:11" ht="24.75" thickBot="1" x14ac:dyDescent="0.3">
      <c r="A71" s="1"/>
      <c r="B71" s="11">
        <f>ROW(B71) - ROW($B$2)</f>
        <v>69</v>
      </c>
      <c r="C71" s="12" t="s">
        <v>18</v>
      </c>
      <c r="D71" s="7" t="s">
        <v>95</v>
      </c>
      <c r="E71" s="8" t="s">
        <v>202</v>
      </c>
      <c r="F71" s="7" t="s">
        <v>269</v>
      </c>
      <c r="G71" s="8" t="s">
        <v>347</v>
      </c>
      <c r="H71" s="7" t="s">
        <v>411</v>
      </c>
      <c r="I71" s="8" t="s">
        <v>464</v>
      </c>
      <c r="J71" s="7">
        <v>12</v>
      </c>
      <c r="K71" s="7"/>
    </row>
    <row r="72" spans="1:11" ht="15.75" thickBot="1" x14ac:dyDescent="0.3">
      <c r="A72" s="1"/>
      <c r="B72" s="11">
        <f t="shared" si="0"/>
        <v>70</v>
      </c>
      <c r="C72" s="13" t="s">
        <v>17</v>
      </c>
      <c r="D72" s="9" t="s">
        <v>96</v>
      </c>
      <c r="E72" s="10" t="s">
        <v>203</v>
      </c>
      <c r="F72" s="9" t="s">
        <v>269</v>
      </c>
      <c r="G72" s="10" t="s">
        <v>348</v>
      </c>
      <c r="H72" s="9" t="s">
        <v>391</v>
      </c>
      <c r="I72" s="10" t="s">
        <v>459</v>
      </c>
      <c r="J72" s="9">
        <v>7</v>
      </c>
      <c r="K72" s="9"/>
    </row>
    <row r="73" spans="1:11" ht="36.75" thickBot="1" x14ac:dyDescent="0.3">
      <c r="A73" s="1"/>
      <c r="B73" s="11">
        <f>ROW(B73) - ROW($B$2)</f>
        <v>71</v>
      </c>
      <c r="C73" s="12" t="s">
        <v>18</v>
      </c>
      <c r="D73" s="7" t="s">
        <v>97</v>
      </c>
      <c r="E73" s="8" t="s">
        <v>204</v>
      </c>
      <c r="F73" s="7" t="s">
        <v>270</v>
      </c>
      <c r="G73" s="8" t="s">
        <v>349</v>
      </c>
      <c r="H73" s="7" t="s">
        <v>391</v>
      </c>
      <c r="I73" s="8" t="s">
        <v>458</v>
      </c>
      <c r="J73" s="7">
        <v>27</v>
      </c>
      <c r="K73" s="7"/>
    </row>
    <row r="74" spans="1:11" ht="24.75" thickBot="1" x14ac:dyDescent="0.3">
      <c r="A74" s="1"/>
      <c r="B74" s="11">
        <f t="shared" si="0"/>
        <v>72</v>
      </c>
      <c r="C74" s="13" t="s">
        <v>17</v>
      </c>
      <c r="D74" s="9" t="s">
        <v>98</v>
      </c>
      <c r="E74" s="10" t="s">
        <v>205</v>
      </c>
      <c r="F74" s="9" t="s">
        <v>270</v>
      </c>
      <c r="G74" s="10" t="s">
        <v>350</v>
      </c>
      <c r="H74" s="9" t="s">
        <v>391</v>
      </c>
      <c r="I74" s="10" t="s">
        <v>462</v>
      </c>
      <c r="J74" s="9">
        <v>14</v>
      </c>
      <c r="K74" s="9"/>
    </row>
    <row r="75" spans="1:11" ht="15.75" thickBot="1" x14ac:dyDescent="0.3">
      <c r="A75" s="1"/>
      <c r="B75" s="11">
        <f>ROW(B75) - ROW($B$2)</f>
        <v>73</v>
      </c>
      <c r="C75" s="12" t="s">
        <v>17</v>
      </c>
      <c r="D75" s="7" t="s">
        <v>99</v>
      </c>
      <c r="E75" s="8" t="s">
        <v>206</v>
      </c>
      <c r="F75" s="7" t="s">
        <v>270</v>
      </c>
      <c r="G75" s="8" t="s">
        <v>351</v>
      </c>
      <c r="H75" s="7" t="s">
        <v>391</v>
      </c>
      <c r="I75" s="8" t="s">
        <v>465</v>
      </c>
      <c r="J75" s="7">
        <v>1</v>
      </c>
      <c r="K75" s="7"/>
    </row>
    <row r="76" spans="1:11" ht="15.75" thickBot="1" x14ac:dyDescent="0.3">
      <c r="A76" s="1"/>
      <c r="B76" s="11">
        <f t="shared" si="0"/>
        <v>74</v>
      </c>
      <c r="C76" s="13" t="s">
        <v>17</v>
      </c>
      <c r="D76" s="9" t="s">
        <v>100</v>
      </c>
      <c r="E76" s="10" t="s">
        <v>207</v>
      </c>
      <c r="F76" s="9" t="s">
        <v>270</v>
      </c>
      <c r="G76" s="10" t="s">
        <v>352</v>
      </c>
      <c r="H76" s="9" t="s">
        <v>391</v>
      </c>
      <c r="I76" s="10" t="s">
        <v>459</v>
      </c>
      <c r="J76" s="9">
        <v>2</v>
      </c>
      <c r="K76" s="9"/>
    </row>
    <row r="77" spans="1:11" ht="15.75" thickBot="1" x14ac:dyDescent="0.3">
      <c r="A77" s="1"/>
      <c r="B77" s="15">
        <f>ROW(B77) - ROW($B$2)</f>
        <v>75</v>
      </c>
      <c r="C77" s="16" t="s">
        <v>17</v>
      </c>
      <c r="D77" s="17" t="s">
        <v>101</v>
      </c>
      <c r="E77" s="18" t="s">
        <v>208</v>
      </c>
      <c r="F77" s="17" t="s">
        <v>270</v>
      </c>
      <c r="G77" s="18" t="s">
        <v>353</v>
      </c>
      <c r="H77" s="17" t="s">
        <v>391</v>
      </c>
      <c r="I77" s="19" t="s">
        <v>434</v>
      </c>
      <c r="J77" s="17">
        <v>1</v>
      </c>
      <c r="K77" s="20" t="s">
        <v>491</v>
      </c>
    </row>
    <row r="78" spans="1:11" ht="15.75" thickBot="1" x14ac:dyDescent="0.3">
      <c r="A78" s="1"/>
      <c r="B78" s="11">
        <f t="shared" si="0"/>
        <v>76</v>
      </c>
      <c r="C78" s="13" t="s">
        <v>17</v>
      </c>
      <c r="D78" s="9" t="s">
        <v>102</v>
      </c>
      <c r="E78" s="10" t="s">
        <v>209</v>
      </c>
      <c r="F78" s="9" t="s">
        <v>270</v>
      </c>
      <c r="G78" s="10" t="s">
        <v>354</v>
      </c>
      <c r="H78" s="9" t="s">
        <v>391</v>
      </c>
      <c r="I78" s="10" t="s">
        <v>466</v>
      </c>
      <c r="J78" s="9">
        <v>2</v>
      </c>
      <c r="K78" s="9"/>
    </row>
    <row r="79" spans="1:11" ht="15.75" thickBot="1" x14ac:dyDescent="0.3">
      <c r="A79" s="1"/>
      <c r="B79" s="11">
        <f>ROW(B79) - ROW($B$2)</f>
        <v>77</v>
      </c>
      <c r="C79" s="12" t="s">
        <v>17</v>
      </c>
      <c r="D79" s="7" t="s">
        <v>103</v>
      </c>
      <c r="E79" s="8" t="s">
        <v>210</v>
      </c>
      <c r="F79" s="7" t="s">
        <v>270</v>
      </c>
      <c r="G79" s="8" t="s">
        <v>355</v>
      </c>
      <c r="H79" s="7" t="s">
        <v>391</v>
      </c>
      <c r="I79" s="8" t="s">
        <v>463</v>
      </c>
      <c r="J79" s="7">
        <v>1</v>
      </c>
      <c r="K79" s="7"/>
    </row>
    <row r="80" spans="1:11" ht="15.75" thickBot="1" x14ac:dyDescent="0.3">
      <c r="A80" s="1"/>
      <c r="B80" s="11">
        <f t="shared" si="0"/>
        <v>78</v>
      </c>
      <c r="C80" s="13" t="s">
        <v>17</v>
      </c>
      <c r="D80" s="9" t="s">
        <v>104</v>
      </c>
      <c r="E80" s="10" t="s">
        <v>211</v>
      </c>
      <c r="F80" s="9" t="s">
        <v>271</v>
      </c>
      <c r="G80" s="10" t="s">
        <v>356</v>
      </c>
      <c r="H80" s="9" t="s">
        <v>391</v>
      </c>
      <c r="I80" s="10" t="s">
        <v>458</v>
      </c>
      <c r="J80" s="9">
        <v>2</v>
      </c>
      <c r="K80" s="9"/>
    </row>
    <row r="81" spans="1:11" ht="24.75" thickBot="1" x14ac:dyDescent="0.3">
      <c r="A81" s="1"/>
      <c r="B81" s="11">
        <f>ROW(B81) - ROW($B$2)</f>
        <v>79</v>
      </c>
      <c r="C81" s="12" t="s">
        <v>17</v>
      </c>
      <c r="D81" s="7" t="s">
        <v>105</v>
      </c>
      <c r="E81" s="8" t="s">
        <v>212</v>
      </c>
      <c r="F81" s="7" t="s">
        <v>269</v>
      </c>
      <c r="G81" s="8" t="s">
        <v>357</v>
      </c>
      <c r="H81" s="7" t="s">
        <v>412</v>
      </c>
      <c r="I81" s="8" t="s">
        <v>464</v>
      </c>
      <c r="J81" s="7">
        <v>1</v>
      </c>
      <c r="K81" s="7"/>
    </row>
    <row r="82" spans="1:11" ht="15.75" thickBot="1" x14ac:dyDescent="0.3">
      <c r="A82" s="1"/>
      <c r="B82" s="11">
        <f t="shared" si="0"/>
        <v>80</v>
      </c>
      <c r="C82" s="13" t="s">
        <v>18</v>
      </c>
      <c r="D82" s="9" t="s">
        <v>106</v>
      </c>
      <c r="E82" s="10" t="s">
        <v>213</v>
      </c>
      <c r="F82" s="9" t="s">
        <v>269</v>
      </c>
      <c r="G82" s="10" t="s">
        <v>358</v>
      </c>
      <c r="H82" s="9" t="s">
        <v>391</v>
      </c>
      <c r="I82" s="10" t="s">
        <v>467</v>
      </c>
      <c r="J82" s="9">
        <v>1</v>
      </c>
      <c r="K82" s="9"/>
    </row>
    <row r="83" spans="1:11" ht="15.75" thickBot="1" x14ac:dyDescent="0.3">
      <c r="A83" s="1"/>
      <c r="B83" s="11">
        <f>ROW(B83) - ROW($B$2)</f>
        <v>81</v>
      </c>
      <c r="C83" s="12" t="s">
        <v>17</v>
      </c>
      <c r="D83" s="7" t="s">
        <v>107</v>
      </c>
      <c r="E83" s="8" t="s">
        <v>214</v>
      </c>
      <c r="F83" s="7" t="s">
        <v>268</v>
      </c>
      <c r="G83" s="8" t="s">
        <v>359</v>
      </c>
      <c r="H83" s="7" t="s">
        <v>391</v>
      </c>
      <c r="I83" s="8" t="s">
        <v>468</v>
      </c>
      <c r="J83" s="7">
        <v>1</v>
      </c>
      <c r="K83" s="7"/>
    </row>
    <row r="84" spans="1:11" ht="36.75" thickBot="1" x14ac:dyDescent="0.3">
      <c r="A84" s="1"/>
      <c r="B84" s="11">
        <f t="shared" si="0"/>
        <v>82</v>
      </c>
      <c r="C84" s="13" t="s">
        <v>17</v>
      </c>
      <c r="D84" s="9" t="s">
        <v>108</v>
      </c>
      <c r="E84" s="10" t="s">
        <v>215</v>
      </c>
      <c r="F84" s="9" t="s">
        <v>272</v>
      </c>
      <c r="G84" s="10" t="s">
        <v>360</v>
      </c>
      <c r="H84" s="9" t="s">
        <v>413</v>
      </c>
      <c r="I84" s="10" t="s">
        <v>469</v>
      </c>
      <c r="J84" s="9">
        <v>18</v>
      </c>
      <c r="K84" s="9"/>
    </row>
    <row r="85" spans="1:11" ht="15.75" thickBot="1" x14ac:dyDescent="0.3">
      <c r="A85" s="1"/>
      <c r="B85" s="11">
        <f>ROW(B85) - ROW($B$2)</f>
        <v>83</v>
      </c>
      <c r="C85" s="12" t="s">
        <v>17</v>
      </c>
      <c r="D85" s="7" t="s">
        <v>109</v>
      </c>
      <c r="E85" s="8" t="s">
        <v>216</v>
      </c>
      <c r="F85" s="7" t="s">
        <v>268</v>
      </c>
      <c r="G85" s="8" t="s">
        <v>361</v>
      </c>
      <c r="H85" s="7" t="s">
        <v>391</v>
      </c>
      <c r="I85" s="8" t="s">
        <v>470</v>
      </c>
      <c r="J85" s="7">
        <v>3</v>
      </c>
      <c r="K85" s="7"/>
    </row>
    <row r="86" spans="1:11" ht="15.75" thickBot="1" x14ac:dyDescent="0.3">
      <c r="A86" s="1"/>
      <c r="B86" s="11">
        <f t="shared" si="0"/>
        <v>84</v>
      </c>
      <c r="C86" s="13"/>
      <c r="D86" s="9" t="s">
        <v>110</v>
      </c>
      <c r="E86" s="10" t="s">
        <v>217</v>
      </c>
      <c r="F86" s="9" t="s">
        <v>268</v>
      </c>
      <c r="G86" s="10" t="s">
        <v>362</v>
      </c>
      <c r="H86" s="9" t="s">
        <v>391</v>
      </c>
      <c r="I86" s="10" t="s">
        <v>471</v>
      </c>
      <c r="J86" s="9">
        <v>3</v>
      </c>
      <c r="K86" s="9"/>
    </row>
    <row r="87" spans="1:11" ht="15.75" thickBot="1" x14ac:dyDescent="0.3">
      <c r="A87" s="1"/>
      <c r="B87" s="11">
        <f>ROW(B87) - ROW($B$2)</f>
        <v>85</v>
      </c>
      <c r="C87" s="12" t="s">
        <v>17</v>
      </c>
      <c r="D87" s="7" t="s">
        <v>111</v>
      </c>
      <c r="E87" s="8" t="s">
        <v>218</v>
      </c>
      <c r="F87" s="7" t="s">
        <v>268</v>
      </c>
      <c r="G87" s="8" t="s">
        <v>363</v>
      </c>
      <c r="H87" s="7" t="s">
        <v>391</v>
      </c>
      <c r="I87" s="8" t="s">
        <v>472</v>
      </c>
      <c r="J87" s="7">
        <v>3</v>
      </c>
      <c r="K87" s="7"/>
    </row>
    <row r="88" spans="1:11" ht="15.75" thickBot="1" x14ac:dyDescent="0.3">
      <c r="A88" s="1"/>
      <c r="B88" s="11">
        <f t="shared" si="0"/>
        <v>86</v>
      </c>
      <c r="C88" s="13" t="s">
        <v>17</v>
      </c>
      <c r="D88" s="9" t="s">
        <v>112</v>
      </c>
      <c r="E88" s="10" t="s">
        <v>219</v>
      </c>
      <c r="F88" s="9" t="s">
        <v>268</v>
      </c>
      <c r="G88" s="10" t="s">
        <v>364</v>
      </c>
      <c r="H88" s="9" t="s">
        <v>391</v>
      </c>
      <c r="I88" s="10" t="s">
        <v>458</v>
      </c>
      <c r="J88" s="9">
        <v>6</v>
      </c>
      <c r="K88" s="9"/>
    </row>
    <row r="89" spans="1:11" ht="15.75" thickBot="1" x14ac:dyDescent="0.3">
      <c r="A89" s="1"/>
      <c r="B89" s="11">
        <f>ROW(B89) - ROW($B$2)</f>
        <v>87</v>
      </c>
      <c r="C89" s="12" t="s">
        <v>17</v>
      </c>
      <c r="D89" s="7" t="s">
        <v>113</v>
      </c>
      <c r="E89" s="8" t="s">
        <v>220</v>
      </c>
      <c r="F89" s="7" t="s">
        <v>268</v>
      </c>
      <c r="G89" s="8" t="s">
        <v>365</v>
      </c>
      <c r="H89" s="7" t="s">
        <v>391</v>
      </c>
      <c r="I89" s="8" t="s">
        <v>462</v>
      </c>
      <c r="J89" s="7">
        <v>3</v>
      </c>
      <c r="K89" s="7"/>
    </row>
    <row r="90" spans="1:11" ht="15.75" thickBot="1" x14ac:dyDescent="0.3">
      <c r="A90" s="1"/>
      <c r="B90" s="11">
        <f t="shared" si="0"/>
        <v>88</v>
      </c>
      <c r="C90" s="13" t="s">
        <v>17</v>
      </c>
      <c r="D90" s="9" t="s">
        <v>114</v>
      </c>
      <c r="E90" s="10" t="s">
        <v>221</v>
      </c>
      <c r="F90" s="9" t="s">
        <v>268</v>
      </c>
      <c r="G90" s="10" t="s">
        <v>366</v>
      </c>
      <c r="H90" s="9" t="s">
        <v>391</v>
      </c>
      <c r="I90" s="10" t="s">
        <v>461</v>
      </c>
      <c r="J90" s="9">
        <v>3</v>
      </c>
      <c r="K90" s="9"/>
    </row>
    <row r="91" spans="1:11" ht="24.75" thickBot="1" x14ac:dyDescent="0.3">
      <c r="A91" s="1"/>
      <c r="B91" s="11">
        <f>ROW(B91) - ROW($B$2)</f>
        <v>89</v>
      </c>
      <c r="C91" s="12" t="s">
        <v>18</v>
      </c>
      <c r="D91" s="7" t="s">
        <v>115</v>
      </c>
      <c r="E91" s="8" t="s">
        <v>222</v>
      </c>
      <c r="F91" s="7" t="s">
        <v>273</v>
      </c>
      <c r="G91" s="8" t="s">
        <v>367</v>
      </c>
      <c r="H91" s="7" t="s">
        <v>411</v>
      </c>
      <c r="I91" s="8" t="s">
        <v>473</v>
      </c>
      <c r="J91" s="7">
        <v>9</v>
      </c>
      <c r="K91" s="7"/>
    </row>
    <row r="92" spans="1:11" ht="36.75" thickBot="1" x14ac:dyDescent="0.3">
      <c r="A92" s="1"/>
      <c r="B92" s="11">
        <f t="shared" si="0"/>
        <v>90</v>
      </c>
      <c r="C92" s="13" t="s">
        <v>17</v>
      </c>
      <c r="D92" s="9" t="s">
        <v>116</v>
      </c>
      <c r="E92" s="10" t="s">
        <v>223</v>
      </c>
      <c r="F92" s="9" t="s">
        <v>273</v>
      </c>
      <c r="G92" s="10" t="s">
        <v>368</v>
      </c>
      <c r="H92" s="9" t="s">
        <v>414</v>
      </c>
      <c r="I92" s="10" t="s">
        <v>474</v>
      </c>
      <c r="J92" s="9">
        <v>6</v>
      </c>
      <c r="K92" s="9"/>
    </row>
    <row r="93" spans="1:11" ht="15.75" thickBot="1" x14ac:dyDescent="0.3">
      <c r="A93" s="1"/>
      <c r="B93" s="11">
        <f>ROW(B93) - ROW($B$2)</f>
        <v>91</v>
      </c>
      <c r="C93" s="12"/>
      <c r="D93" s="7" t="s">
        <v>117</v>
      </c>
      <c r="E93" s="8" t="s">
        <v>224</v>
      </c>
      <c r="F93" s="7" t="s">
        <v>268</v>
      </c>
      <c r="G93" s="8" t="s">
        <v>369</v>
      </c>
      <c r="H93" s="7" t="s">
        <v>391</v>
      </c>
      <c r="I93" s="8" t="s">
        <v>475</v>
      </c>
      <c r="J93" s="7">
        <v>3</v>
      </c>
      <c r="K93" s="7"/>
    </row>
    <row r="94" spans="1:11" ht="24.75" thickBot="1" x14ac:dyDescent="0.3">
      <c r="A94" s="1"/>
      <c r="B94" s="11">
        <f t="shared" si="0"/>
        <v>92</v>
      </c>
      <c r="C94" s="13" t="s">
        <v>19</v>
      </c>
      <c r="D94" s="9" t="s">
        <v>118</v>
      </c>
      <c r="E94" s="10" t="s">
        <v>225</v>
      </c>
      <c r="F94" s="9" t="s">
        <v>482</v>
      </c>
      <c r="G94" s="10" t="s">
        <v>274</v>
      </c>
      <c r="H94" s="9" t="s">
        <v>391</v>
      </c>
      <c r="I94" s="10" t="s">
        <v>490</v>
      </c>
      <c r="J94" s="9">
        <v>3</v>
      </c>
      <c r="K94" s="9"/>
    </row>
    <row r="95" spans="1:11" ht="15.75" thickBot="1" x14ac:dyDescent="0.3">
      <c r="A95" s="1"/>
      <c r="B95" s="11">
        <f>ROW(B95) - ROW($B$2)</f>
        <v>93</v>
      </c>
      <c r="C95" s="12" t="s">
        <v>20</v>
      </c>
      <c r="D95" s="7" t="s">
        <v>119</v>
      </c>
      <c r="E95" s="8" t="s">
        <v>226</v>
      </c>
      <c r="F95" s="7" t="s">
        <v>482</v>
      </c>
      <c r="G95" s="8" t="s">
        <v>370</v>
      </c>
      <c r="H95" s="7" t="s">
        <v>415</v>
      </c>
      <c r="I95" s="10" t="s">
        <v>490</v>
      </c>
      <c r="J95" s="7">
        <v>1</v>
      </c>
      <c r="K95" s="7"/>
    </row>
    <row r="96" spans="1:11" ht="15.75" thickBot="1" x14ac:dyDescent="0.3">
      <c r="A96" s="1"/>
      <c r="B96" s="11">
        <f t="shared" si="0"/>
        <v>94</v>
      </c>
      <c r="C96" s="13" t="s">
        <v>20</v>
      </c>
      <c r="D96" s="9" t="s">
        <v>120</v>
      </c>
      <c r="E96" s="10" t="s">
        <v>227</v>
      </c>
      <c r="F96" s="9" t="s">
        <v>485</v>
      </c>
      <c r="G96" s="10" t="s">
        <v>371</v>
      </c>
      <c r="H96" s="9" t="s">
        <v>416</v>
      </c>
      <c r="I96" s="10" t="s">
        <v>490</v>
      </c>
      <c r="J96" s="9">
        <v>1</v>
      </c>
      <c r="K96" s="9"/>
    </row>
    <row r="97" spans="1:11" ht="15.75" thickBot="1" x14ac:dyDescent="0.3">
      <c r="A97" s="1"/>
      <c r="B97" s="11">
        <f>ROW(B97) - ROW($B$2)</f>
        <v>95</v>
      </c>
      <c r="C97" s="12" t="s">
        <v>20</v>
      </c>
      <c r="D97" s="7" t="s">
        <v>121</v>
      </c>
      <c r="E97" s="8" t="s">
        <v>228</v>
      </c>
      <c r="F97" s="7" t="s">
        <v>486</v>
      </c>
      <c r="G97" s="8" t="s">
        <v>372</v>
      </c>
      <c r="H97" s="7" t="s">
        <v>417</v>
      </c>
      <c r="I97" s="10" t="s">
        <v>490</v>
      </c>
      <c r="J97" s="7">
        <v>1</v>
      </c>
      <c r="K97" s="7"/>
    </row>
    <row r="98" spans="1:11" ht="15.75" thickBot="1" x14ac:dyDescent="0.3">
      <c r="A98" s="1"/>
      <c r="B98" s="11">
        <f t="shared" si="0"/>
        <v>96</v>
      </c>
      <c r="C98" s="13" t="s">
        <v>20</v>
      </c>
      <c r="D98" s="9" t="s">
        <v>122</v>
      </c>
      <c r="E98" s="10" t="s">
        <v>229</v>
      </c>
      <c r="F98" s="9" t="s">
        <v>487</v>
      </c>
      <c r="G98" s="10" t="s">
        <v>373</v>
      </c>
      <c r="H98" s="9" t="s">
        <v>418</v>
      </c>
      <c r="I98" s="10" t="s">
        <v>490</v>
      </c>
      <c r="J98" s="9">
        <v>1</v>
      </c>
      <c r="K98" s="9"/>
    </row>
    <row r="99" spans="1:11" ht="15.75" thickBot="1" x14ac:dyDescent="0.3">
      <c r="A99" s="1"/>
      <c r="B99" s="11">
        <f>ROW(B99) - ROW($B$2)</f>
        <v>97</v>
      </c>
      <c r="C99" s="12" t="s">
        <v>20</v>
      </c>
      <c r="D99" s="7" t="s">
        <v>123</v>
      </c>
      <c r="E99" s="8" t="s">
        <v>230</v>
      </c>
      <c r="F99" s="7" t="s">
        <v>275</v>
      </c>
      <c r="G99" s="8" t="s">
        <v>374</v>
      </c>
      <c r="H99" s="7" t="s">
        <v>416</v>
      </c>
      <c r="I99" s="10" t="s">
        <v>490</v>
      </c>
      <c r="J99" s="7">
        <v>1</v>
      </c>
      <c r="K99" s="7"/>
    </row>
    <row r="100" spans="1:11" ht="15.75" thickBot="1" x14ac:dyDescent="0.3">
      <c r="A100" s="1"/>
      <c r="B100" s="11">
        <f t="shared" si="0"/>
        <v>98</v>
      </c>
      <c r="C100" s="13" t="s">
        <v>20</v>
      </c>
      <c r="D100" s="9" t="s">
        <v>124</v>
      </c>
      <c r="E100" s="10" t="s">
        <v>231</v>
      </c>
      <c r="F100" s="9" t="s">
        <v>276</v>
      </c>
      <c r="G100" s="10" t="s">
        <v>375</v>
      </c>
      <c r="H100" s="9" t="s">
        <v>416</v>
      </c>
      <c r="I100" s="10" t="s">
        <v>490</v>
      </c>
      <c r="J100" s="9">
        <v>1</v>
      </c>
      <c r="K100" s="9"/>
    </row>
    <row r="101" spans="1:11" ht="24.75" thickBot="1" x14ac:dyDescent="0.3">
      <c r="A101" s="1"/>
      <c r="B101" s="11">
        <f>ROW(B101) - ROW($B$2)</f>
        <v>99</v>
      </c>
      <c r="C101" s="12" t="s">
        <v>21</v>
      </c>
      <c r="D101" s="7" t="s">
        <v>125</v>
      </c>
      <c r="E101" s="8" t="s">
        <v>232</v>
      </c>
      <c r="F101" s="7" t="s">
        <v>482</v>
      </c>
      <c r="G101" s="8" t="s">
        <v>277</v>
      </c>
      <c r="H101" s="7" t="s">
        <v>419</v>
      </c>
      <c r="I101" s="10" t="s">
        <v>490</v>
      </c>
      <c r="J101" s="7">
        <v>1</v>
      </c>
      <c r="K101" s="7"/>
    </row>
    <row r="102" spans="1:11" ht="36.75" thickBot="1" x14ac:dyDescent="0.3">
      <c r="A102" s="1"/>
      <c r="B102" s="11">
        <f t="shared" si="0"/>
        <v>100</v>
      </c>
      <c r="C102" s="13" t="s">
        <v>22</v>
      </c>
      <c r="D102" s="9" t="s">
        <v>126</v>
      </c>
      <c r="E102" s="10" t="s">
        <v>233</v>
      </c>
      <c r="F102" s="9" t="s">
        <v>278</v>
      </c>
      <c r="G102" s="10" t="s">
        <v>376</v>
      </c>
      <c r="H102" s="9" t="s">
        <v>420</v>
      </c>
      <c r="I102" s="10" t="s">
        <v>490</v>
      </c>
      <c r="J102" s="9">
        <v>1</v>
      </c>
      <c r="K102" s="9"/>
    </row>
    <row r="103" spans="1:11" ht="24.75" thickBot="1" x14ac:dyDescent="0.3">
      <c r="A103" s="1"/>
      <c r="B103" s="11">
        <f>ROW(B103) - ROW($B$2)</f>
        <v>101</v>
      </c>
      <c r="C103" s="12" t="s">
        <v>20</v>
      </c>
      <c r="D103" s="7" t="s">
        <v>127</v>
      </c>
      <c r="E103" s="8" t="s">
        <v>234</v>
      </c>
      <c r="F103" s="7" t="s">
        <v>482</v>
      </c>
      <c r="G103" s="8" t="s">
        <v>377</v>
      </c>
      <c r="H103" s="7" t="s">
        <v>421</v>
      </c>
      <c r="I103" s="10" t="s">
        <v>490</v>
      </c>
      <c r="J103" s="7">
        <v>1</v>
      </c>
      <c r="K103" s="7"/>
    </row>
    <row r="104" spans="1:11" ht="15.75" thickBot="1" x14ac:dyDescent="0.3">
      <c r="A104" s="1"/>
      <c r="B104" s="11">
        <f t="shared" si="0"/>
        <v>102</v>
      </c>
      <c r="C104" s="13" t="s">
        <v>20</v>
      </c>
      <c r="D104" s="9" t="s">
        <v>128</v>
      </c>
      <c r="E104" s="10" t="s">
        <v>235</v>
      </c>
      <c r="F104" s="9" t="s">
        <v>488</v>
      </c>
      <c r="G104" s="10" t="s">
        <v>378</v>
      </c>
      <c r="H104" s="9" t="s">
        <v>422</v>
      </c>
      <c r="I104" s="10" t="s">
        <v>490</v>
      </c>
      <c r="J104" s="9">
        <v>1</v>
      </c>
      <c r="K104" s="9"/>
    </row>
    <row r="105" spans="1:11" ht="36.75" thickBot="1" x14ac:dyDescent="0.3">
      <c r="A105" s="1"/>
      <c r="B105" s="11">
        <f>ROW(B105) - ROW($B$2)</f>
        <v>103</v>
      </c>
      <c r="C105" s="12" t="s">
        <v>20</v>
      </c>
      <c r="D105" s="7" t="s">
        <v>129</v>
      </c>
      <c r="E105" s="8" t="s">
        <v>236</v>
      </c>
      <c r="F105" s="7" t="s">
        <v>489</v>
      </c>
      <c r="G105" s="8" t="s">
        <v>379</v>
      </c>
      <c r="H105" s="7" t="s">
        <v>423</v>
      </c>
      <c r="I105" s="10" t="s">
        <v>490</v>
      </c>
      <c r="J105" s="7">
        <v>1</v>
      </c>
      <c r="K105" s="7"/>
    </row>
    <row r="106" spans="1:11" ht="15.75" thickBot="1" x14ac:dyDescent="0.3">
      <c r="A106" s="1"/>
      <c r="B106" s="11">
        <f t="shared" si="0"/>
        <v>104</v>
      </c>
      <c r="C106" s="13" t="s">
        <v>23</v>
      </c>
      <c r="D106" s="9" t="s">
        <v>130</v>
      </c>
      <c r="E106" s="10" t="s">
        <v>237</v>
      </c>
      <c r="F106" s="9" t="s">
        <v>279</v>
      </c>
      <c r="G106" s="10" t="s">
        <v>380</v>
      </c>
      <c r="H106" s="9" t="s">
        <v>415</v>
      </c>
      <c r="I106" s="10" t="s">
        <v>490</v>
      </c>
      <c r="J106" s="9">
        <v>1</v>
      </c>
      <c r="K106" s="9"/>
    </row>
    <row r="107" spans="1:11" ht="15.75" thickBot="1" x14ac:dyDescent="0.3">
      <c r="A107" s="1"/>
      <c r="B107" s="11">
        <f>ROW(B107) - ROW($B$2)</f>
        <v>105</v>
      </c>
      <c r="C107" s="12" t="s">
        <v>20</v>
      </c>
      <c r="D107" s="7" t="s">
        <v>131</v>
      </c>
      <c r="E107" s="8" t="s">
        <v>238</v>
      </c>
      <c r="F107" s="7" t="s">
        <v>280</v>
      </c>
      <c r="G107" s="8" t="s">
        <v>381</v>
      </c>
      <c r="H107" s="7" t="s">
        <v>416</v>
      </c>
      <c r="I107" s="10" t="s">
        <v>490</v>
      </c>
      <c r="J107" s="7">
        <v>1</v>
      </c>
      <c r="K107" s="7"/>
    </row>
    <row r="108" spans="1:11" ht="15.75" thickBot="1" x14ac:dyDescent="0.3">
      <c r="A108" s="1"/>
      <c r="B108" s="11">
        <f t="shared" si="0"/>
        <v>106</v>
      </c>
      <c r="C108" s="13" t="s">
        <v>24</v>
      </c>
      <c r="D108" s="9" t="s">
        <v>132</v>
      </c>
      <c r="E108" s="10" t="s">
        <v>239</v>
      </c>
      <c r="F108" s="9" t="s">
        <v>281</v>
      </c>
      <c r="G108" s="10" t="s">
        <v>382</v>
      </c>
      <c r="H108" s="9" t="s">
        <v>424</v>
      </c>
      <c r="I108" s="10" t="s">
        <v>490</v>
      </c>
      <c r="J108" s="9">
        <v>1</v>
      </c>
      <c r="K108" s="9"/>
    </row>
    <row r="109" spans="1:11" ht="15.75" thickBot="1" x14ac:dyDescent="0.3">
      <c r="A109" s="1"/>
      <c r="B109" s="11">
        <f>ROW(B109) - ROW($B$2)</f>
        <v>107</v>
      </c>
      <c r="C109" s="12" t="s">
        <v>20</v>
      </c>
      <c r="D109" s="7" t="s">
        <v>133</v>
      </c>
      <c r="E109" s="8" t="s">
        <v>240</v>
      </c>
      <c r="F109" s="7" t="s">
        <v>282</v>
      </c>
      <c r="G109" s="8" t="s">
        <v>383</v>
      </c>
      <c r="H109" s="7" t="s">
        <v>416</v>
      </c>
      <c r="I109" s="10" t="s">
        <v>490</v>
      </c>
      <c r="J109" s="7">
        <v>3</v>
      </c>
      <c r="K109" s="7"/>
    </row>
    <row r="110" spans="1:11" ht="36.75" thickBot="1" x14ac:dyDescent="0.3">
      <c r="A110" s="1"/>
      <c r="B110" s="11">
        <f t="shared" si="0"/>
        <v>108</v>
      </c>
      <c r="C110" s="13" t="s">
        <v>25</v>
      </c>
      <c r="D110" s="9" t="s">
        <v>134</v>
      </c>
      <c r="E110" s="10" t="s">
        <v>241</v>
      </c>
      <c r="F110" s="9" t="s">
        <v>283</v>
      </c>
      <c r="G110" s="10" t="s">
        <v>384</v>
      </c>
      <c r="H110" s="9" t="s">
        <v>425</v>
      </c>
      <c r="I110" s="10" t="s">
        <v>476</v>
      </c>
      <c r="J110" s="9">
        <v>1</v>
      </c>
      <c r="K110" s="9"/>
    </row>
    <row r="111" spans="1:11" ht="24.75" thickBot="1" x14ac:dyDescent="0.3">
      <c r="A111" s="1"/>
      <c r="B111" s="11">
        <f>ROW(B111) - ROW($B$2)</f>
        <v>109</v>
      </c>
      <c r="C111" s="12" t="s">
        <v>25</v>
      </c>
      <c r="D111" s="7" t="s">
        <v>135</v>
      </c>
      <c r="E111" s="8" t="s">
        <v>242</v>
      </c>
      <c r="F111" s="7" t="s">
        <v>284</v>
      </c>
      <c r="G111" s="8" t="s">
        <v>385</v>
      </c>
      <c r="H111" s="7" t="s">
        <v>426</v>
      </c>
      <c r="I111" s="8" t="s">
        <v>477</v>
      </c>
      <c r="J111" s="7">
        <v>1</v>
      </c>
      <c r="K111" s="7"/>
    </row>
    <row r="112" spans="1:11" ht="15.75" thickBot="1" x14ac:dyDescent="0.3">
      <c r="A112" s="1"/>
      <c r="B112" s="11">
        <f t="shared" si="0"/>
        <v>110</v>
      </c>
      <c r="C112" s="13" t="s">
        <v>25</v>
      </c>
      <c r="D112" s="9" t="s">
        <v>136</v>
      </c>
      <c r="E112" s="10" t="s">
        <v>243</v>
      </c>
      <c r="F112" s="9" t="s">
        <v>285</v>
      </c>
      <c r="G112" s="10" t="s">
        <v>386</v>
      </c>
      <c r="H112" s="9" t="s">
        <v>426</v>
      </c>
      <c r="I112" s="10" t="s">
        <v>478</v>
      </c>
      <c r="J112" s="9">
        <v>1</v>
      </c>
      <c r="K112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2019-12-12T10:34:26Z</dcterms:created>
  <dcterms:modified xsi:type="dcterms:W3CDTF">2025-04-24T15:45:28Z</dcterms:modified>
</cp:coreProperties>
</file>