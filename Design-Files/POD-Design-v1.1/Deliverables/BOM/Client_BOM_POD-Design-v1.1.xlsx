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<sst xmlns="http://schemas.openxmlformats.org/spreadsheetml/2006/main" count="859" uniqueCount="531">
  <si>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</si>
  <si>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</si>
  <si>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</si>
  <si>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</si>
  <si>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</si>
  <si>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</si>
  <si>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</si>
  <si>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</si>
  <si>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</si>
  <si>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</si>
  <si>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Antenna</t>
  </si>
  <si>
    <t>ANT1</t>
  </si>
  <si>
    <t>RF ANT 2.4GHZ CHIP SOLDER SMD</t>
  </si>
  <si>
    <t>ANT-1206</t>
  </si>
  <si>
    <t>2450AT18B100E</t>
  </si>
  <si>
    <t>Johanson</t>
  </si>
  <si>
    <t>-</t>
  </si>
  <si>
    <t>Diodes</t>
  </si>
  <si>
    <t>BR3</t>
  </si>
  <si>
    <t>BRIDGE RECT 1P 600V 1A 4MICRODIP</t>
  </si>
  <si>
    <t>TSSOP-4(5.0x4.4)</t>
  </si>
  <si>
    <t>MDB6S</t>
  </si>
  <si>
    <t>ON Semiconductor / Fairchild</t>
  </si>
  <si>
    <t>Capacitors</t>
  </si>
  <si>
    <t>C1, C2, C3, C4, C5, C6, C7, C8, C11, C12, C13, C14</t>
  </si>
  <si>
    <t>CAP CER 0.022UF 50V C0G/NP0 0805</t>
  </si>
  <si>
    <t>Cap-0805</t>
  </si>
  <si>
    <t>GRM21B5C1H223JA01L</t>
  </si>
  <si>
    <t>Murata</t>
  </si>
  <si>
    <t>22nF</t>
  </si>
  <si>
    <t>Capacitor</t>
  </si>
  <si>
    <t>C9, C10</t>
  </si>
  <si>
    <t>CAP CER 15PF 50V C0G/NPO 0603</t>
  </si>
  <si>
    <t>Cap-0603</t>
  </si>
  <si>
    <t>CC0603JRNPO9BN150</t>
  </si>
  <si>
    <t>Yageo</t>
  </si>
  <si>
    <t>15pF</t>
  </si>
  <si>
    <t>C15, C16, C17, C18, C20, C22, C24, C110, C111</t>
  </si>
  <si>
    <t>CAP CER 0.1UF 50V X7R 0603</t>
  </si>
  <si>
    <t>GCJ188R71H104KA12D</t>
  </si>
  <si>
    <t>0.1uF</t>
  </si>
  <si>
    <t>C19, C21, C23, C25</t>
  </si>
  <si>
    <t>CAP CER 4.7UF 10V X7R 0603</t>
  </si>
  <si>
    <t>GRM188Z71A475KE15D</t>
  </si>
  <si>
    <t>4.7uF</t>
  </si>
  <si>
    <t>C26, C29, C32</t>
  </si>
  <si>
    <t>51 pF ±1% 250V Ceramic Capacitor C0G, NP0 0603 (1608 Metric)</t>
  </si>
  <si>
    <t>GQM1875C2E510FB12D</t>
  </si>
  <si>
    <t>51pF</t>
  </si>
  <si>
    <t>C27, C28, C30, C31, C33, C34</t>
  </si>
  <si>
    <t>CAP CER 0.022UF 500V X7R 1206</t>
  </si>
  <si>
    <t>Cap-1206</t>
  </si>
  <si>
    <t>CC1206KKX7RBBB223</t>
  </si>
  <si>
    <t>C35, C38</t>
  </si>
  <si>
    <t>CAP CER 1UF 16V X5R 0402</t>
  </si>
  <si>
    <t>Cap-0402</t>
  </si>
  <si>
    <t>CC0402KRX5R7BB105</t>
  </si>
  <si>
    <t>1uF</t>
  </si>
  <si>
    <t>C36</t>
  </si>
  <si>
    <t>CAP CER 0.047UF 50V X7R 0402</t>
  </si>
  <si>
    <t>CC0402KRX7R9BB473</t>
  </si>
  <si>
    <t>47nF</t>
  </si>
  <si>
    <t>C37, C44</t>
  </si>
  <si>
    <t>CAP CER 0.1UF 16V X7R 0402</t>
  </si>
  <si>
    <t>CC0402KRX7R7BB104</t>
  </si>
  <si>
    <t>DNP</t>
  </si>
  <si>
    <t>DO NOT PLACE</t>
  </si>
  <si>
    <t>C39, C43, C52, C53, C55, C60, C67, C69, C71</t>
  </si>
  <si>
    <t>C40, C41</t>
  </si>
  <si>
    <t>CAP CER 6.8PF 50V C0G/NPO 0402</t>
  </si>
  <si>
    <t>CC0402CRNPO9BN6R8</t>
  </si>
  <si>
    <t>6.8pF</t>
  </si>
  <si>
    <t>C42</t>
  </si>
  <si>
    <t>CAP CER 100PF 50V C0G/NPO 0402</t>
  </si>
  <si>
    <t>CC0402JRNPO9BN101</t>
  </si>
  <si>
    <t>100pF</t>
  </si>
  <si>
    <t>C45</t>
  </si>
  <si>
    <t>CAP CER 2.2PF 50V C0G/NP0 0402</t>
  </si>
  <si>
    <t>GRM1555C1H2R2BA01D</t>
  </si>
  <si>
    <t>2.2pF</t>
  </si>
  <si>
    <t>C46, C47</t>
  </si>
  <si>
    <t>50V 9pF C0G 0402 Multilayer Ceramic Capacitors MLCC - SMD/SMT ROHS</t>
  </si>
  <si>
    <t>0402CG9R0C500NT</t>
  </si>
  <si>
    <t>FH (Guangdong Fenghua Advanced Tech)</t>
  </si>
  <si>
    <t>9pF</t>
  </si>
  <si>
    <t>C48</t>
  </si>
  <si>
    <t>CAP CER 0.8PF 50V C0G/NPO 0402</t>
  </si>
  <si>
    <t>CC0402BRNPO9BNR80</t>
  </si>
  <si>
    <t>0.8pF</t>
  </si>
  <si>
    <t>C49</t>
  </si>
  <si>
    <t>CAP CER 820PF 50V C0G/NPO 0603</t>
  </si>
  <si>
    <t>CC0603JRNPO9BN821</t>
  </si>
  <si>
    <t>820pF</t>
  </si>
  <si>
    <t>C50, C51, C54</t>
  </si>
  <si>
    <t>CAP CER 4.7UF 16V X5R 0402</t>
  </si>
  <si>
    <t>CL05A475MO5NUNC</t>
  </si>
  <si>
    <t>Samsung</t>
  </si>
  <si>
    <t>C56</t>
  </si>
  <si>
    <t>CAP ALUM POLY 120UF 20% 20V SMD</t>
  </si>
  <si>
    <t>Custom</t>
  </si>
  <si>
    <t>20SVPF120M</t>
  </si>
  <si>
    <t>Panasonic</t>
  </si>
  <si>
    <t>120uF</t>
  </si>
  <si>
    <t>C57, C58, C59, C61, C62, C70, C73</t>
  </si>
  <si>
    <t>CAP CER 10UF 10V X7R 0603</t>
  </si>
  <si>
    <t>GRM188Z71A106KA73D</t>
  </si>
  <si>
    <t>10uF</t>
  </si>
  <si>
    <t>C63, C68</t>
  </si>
  <si>
    <t>CC0402JRX7R7BB104</t>
  </si>
  <si>
    <t>C64, C65</t>
  </si>
  <si>
    <t>CAP CER 22UF 10V X7R 0805</t>
  </si>
  <si>
    <t>GRM21BZ71A226ME15L</t>
  </si>
  <si>
    <t>22uF</t>
  </si>
  <si>
    <t>C66</t>
  </si>
  <si>
    <t>CAP CER 1UF 6.3V X7R 0402</t>
  </si>
  <si>
    <t>GRM155R70J105KA12J</t>
  </si>
  <si>
    <t>C72</t>
  </si>
  <si>
    <t>10uF 160V ±20% SMD,D8xL10.2mm Aluminum Electrolytic Capacitors - SMD ROHS</t>
  </si>
  <si>
    <t>UD2C100M0810</t>
  </si>
  <si>
    <t>Honor Elec</t>
  </si>
  <si>
    <t>C74</t>
  </si>
  <si>
    <t>CC0603JRX7R9BB104</t>
  </si>
  <si>
    <t>C75, C77</t>
  </si>
  <si>
    <t>50V 6.8nF X7R ±10% 0603</t>
  </si>
  <si>
    <t>0603B682K500NT</t>
  </si>
  <si>
    <t>FH</t>
  </si>
  <si>
    <t>6.8nF</t>
  </si>
  <si>
    <t>C76</t>
  </si>
  <si>
    <t>CAP CER 0.015UF 50V X7R 0603</t>
  </si>
  <si>
    <t>CC0603JRX7R9BB153</t>
  </si>
  <si>
    <t>15nF</t>
  </si>
  <si>
    <t>C78, C79</t>
  </si>
  <si>
    <t>CAP CER 1000PF 25V X7R 0402</t>
  </si>
  <si>
    <t>CC0402KRX7R8BB102</t>
  </si>
  <si>
    <t>1nF</t>
  </si>
  <si>
    <t>C98</t>
  </si>
  <si>
    <t>CAP CER 1000PF 25V X7R 0603</t>
  </si>
  <si>
    <t>1000pF</t>
  </si>
  <si>
    <t>C99</t>
  </si>
  <si>
    <t>CAP CER 2200PF 50V X7R 0603</t>
  </si>
  <si>
    <t>CC0603KRX7R9BB222</t>
  </si>
  <si>
    <t>2.2nF</t>
  </si>
  <si>
    <t>C100</t>
  </si>
  <si>
    <t>CAP CER 0.033UF 50V X7R 0603</t>
  </si>
  <si>
    <t>GCJ188R71H333KA12D</t>
  </si>
  <si>
    <t>33nF</t>
  </si>
  <si>
    <t>C101</t>
  </si>
  <si>
    <t>CAP CER 0.1UF 50V X7R 0402</t>
  </si>
  <si>
    <t>cap-0402</t>
  </si>
  <si>
    <t>C1005X7R1H104KT000F</t>
  </si>
  <si>
    <t>TDK</t>
  </si>
  <si>
    <t>100nF</t>
  </si>
  <si>
    <t>C102</t>
  </si>
  <si>
    <t>CAP CER 0.033UF 25V X7R 0603</t>
  </si>
  <si>
    <t>CC0603JRX7R8BB333</t>
  </si>
  <si>
    <t>C103</t>
  </si>
  <si>
    <t>CAP CER 1UF 25V X7R 0603</t>
  </si>
  <si>
    <t>C1608X7R1E105K080AB</t>
  </si>
  <si>
    <t>C104</t>
  </si>
  <si>
    <t>CAP CER 2.2UF 50V X7R 0805</t>
  </si>
  <si>
    <t>CC0805KKX7R9BB225</t>
  </si>
  <si>
    <t>2.2uF</t>
  </si>
  <si>
    <t>D1, D2, D3, D4, D5, D6</t>
  </si>
  <si>
    <t>DIODE ARR GP 100V 215MA TO-236AB</t>
  </si>
  <si>
    <t>SOT-23</t>
  </si>
  <si>
    <t>BAV99,215</t>
  </si>
  <si>
    <t>Nexperia</t>
  </si>
  <si>
    <t>Diode</t>
  </si>
  <si>
    <t>D7</t>
  </si>
  <si>
    <t>DIODE ZENER 3.3V 200MW SOD323F</t>
  </si>
  <si>
    <t>SOD323F</t>
  </si>
  <si>
    <t>MM3Z3V3B</t>
  </si>
  <si>
    <t>TVS Diodes</t>
  </si>
  <si>
    <t>D8</t>
  </si>
  <si>
    <t>TVS DIODE 3VWM SOT323-5</t>
  </si>
  <si>
    <t>SOT-323-5</t>
  </si>
  <si>
    <t>ESDALC6V1W5</t>
  </si>
  <si>
    <t>STMicroelectronics</t>
  </si>
  <si>
    <t>D11, D16, D17, D18</t>
  </si>
  <si>
    <t>DIODE AVAL 600V 1.5A DO214AC</t>
  </si>
  <si>
    <t>SMA(DO-214AC)</t>
  </si>
  <si>
    <t>BYG20J-E3/TR</t>
  </si>
  <si>
    <t>Vishay Semiconductors</t>
  </si>
  <si>
    <t>D19</t>
  </si>
  <si>
    <t>Independent Type 2.5V~2.9V 500mW 2.7V LL-34 Zener Diodes ROHS</t>
  </si>
  <si>
    <t>LL-34</t>
  </si>
  <si>
    <t>ZMM2V7</t>
  </si>
  <si>
    <t>HXY MOSFET</t>
  </si>
  <si>
    <t>Ferrite Beads</t>
  </si>
  <si>
    <t>FB1, FB2, FB3, FB4</t>
  </si>
  <si>
    <t>FERRITE BEAD 1.5 KOHM 0805 1LN</t>
  </si>
  <si>
    <t>Ind-0805</t>
  </si>
  <si>
    <t>BLM21BD152SN1D</t>
  </si>
  <si>
    <t>FB5</t>
  </si>
  <si>
    <t>FERRITE BEAD 220 OHM 0805 1LN</t>
  </si>
  <si>
    <t>BLM21PG221SN1D</t>
  </si>
  <si>
    <t>Ferrite Bead</t>
  </si>
  <si>
    <t>FB6</t>
  </si>
  <si>
    <t>FERRITE BEAD 1K OHM 0805 1LN</t>
  </si>
  <si>
    <t>MMZ2012R102ATD25</t>
  </si>
  <si>
    <t>FB7, FB8</t>
  </si>
  <si>
    <t>FERRITE BEAD 1 KOHM 0603 1LN</t>
  </si>
  <si>
    <t>IND-0603 (1608 Metric)</t>
  </si>
  <si>
    <t>BLM18HE102SN1D</t>
  </si>
  <si>
    <t>USB Connector</t>
  </si>
  <si>
    <t>J1</t>
  </si>
  <si>
    <t>5A 1 16P Female Type-C SMD USB Connectors ROHS</t>
  </si>
  <si>
    <t>TYPE-C-31-M-12</t>
  </si>
  <si>
    <t>Korean Hroparts Elec</t>
  </si>
  <si>
    <t>Terminal Block</t>
  </si>
  <si>
    <t>J2</t>
  </si>
  <si>
    <t>320V 20A 14 Bend -40℃~+105℃ 1 5.08mm 1x14P Green Receptacle-Close Screw Fixing Push-Pull,P=5.08mm Pluggable System Terminal Block ROHS</t>
  </si>
  <si>
    <t>DB2ERM-5.08-14P-GN</t>
  </si>
  <si>
    <t>DORABO</t>
  </si>
  <si>
    <t>J3</t>
  </si>
  <si>
    <t>-40℃~+105℃ 2.5 1 14~28 5.08mm 320V 20A 14 1x14P Green Plug Screw Fixing P=5.08mm Pluggable System Terminal Block ROHS</t>
  </si>
  <si>
    <t>DB2EKM-5.08-14P-GN-S</t>
  </si>
  <si>
    <t>Tag Connect</t>
  </si>
  <si>
    <t>J4</t>
  </si>
  <si>
    <t>CABLE ADAPTER 6 POS</t>
  </si>
  <si>
    <t>TC2030-IDC</t>
  </si>
  <si>
    <t>Tag-Connect</t>
  </si>
  <si>
    <t>J5</t>
  </si>
  <si>
    <t>320V 20A 4 Bend -40℃~+105℃ 1 5.08mm 1x4P Green Receptacle-Close Screw Fixing Push-Pull,P=5.08mm Pluggable System Terminal Block ROHS</t>
  </si>
  <si>
    <t>DB2ERM-5.08-4P-GN</t>
  </si>
  <si>
    <t>J6</t>
  </si>
  <si>
    <t>-40℃~+105℃ 2.5 1 14~28 5.08mm 320V 20A 4 1x4P Green Plug Screw Fixing P=5.08mm Pluggable System Terminal Block ROHS</t>
  </si>
  <si>
    <t>DB2EKM-5.08-4P-GN-S</t>
  </si>
  <si>
    <t>J7</t>
  </si>
  <si>
    <t>1000V 57A 1 1 10.16mm P=10.16mm Pluggable System Terminal Block ROHS</t>
  </si>
  <si>
    <t>DB136H-10.16-1P-RD-P</t>
  </si>
  <si>
    <t>J8</t>
  </si>
  <si>
    <t>DB136H-10.16-1P-BK-P</t>
  </si>
  <si>
    <t>Inductor</t>
  </si>
  <si>
    <t>L1</t>
  </si>
  <si>
    <t>FIXED IND 15NH 400MA 0.45OHM SMD</t>
  </si>
  <si>
    <t>IND-0402</t>
  </si>
  <si>
    <t>LQG15HN15NJ02D</t>
  </si>
  <si>
    <t>15nH</t>
  </si>
  <si>
    <t>Inductors</t>
  </si>
  <si>
    <t>L2</t>
  </si>
  <si>
    <t>FIXED IND 10UH 250MA 1.05OHM SMD</t>
  </si>
  <si>
    <t>MLZ1608M100WT000</t>
  </si>
  <si>
    <t>10uH</t>
  </si>
  <si>
    <t>L3, L4</t>
  </si>
  <si>
    <t>FIXED IND 3.9NH 350MA 350MOHM SM</t>
  </si>
  <si>
    <t>IND-0201</t>
  </si>
  <si>
    <t>LQP03TG3N9B02D</t>
  </si>
  <si>
    <t>3.9nH</t>
  </si>
  <si>
    <t>L5</t>
  </si>
  <si>
    <t>FIXED IND 2.7NH 500MA 200MOHM SM</t>
  </si>
  <si>
    <t>LQP03TN2N7B02D</t>
  </si>
  <si>
    <t>L6</t>
  </si>
  <si>
    <t>2.34A 1.5uH Shielded Power Inductors ±20% SMD Power Inductors ROHS</t>
  </si>
  <si>
    <t>LVT303012-1R5M-N</t>
  </si>
  <si>
    <t>Chilisin Elec</t>
  </si>
  <si>
    <t>1.5uH</t>
  </si>
  <si>
    <t>L7</t>
  </si>
  <si>
    <t>4A 2.2uH ±20% 32mΩ SMD,5.4x5.2x2mm Power Inductors ROHS</t>
  </si>
  <si>
    <t>YSPI0520-2R2M</t>
  </si>
  <si>
    <t>YJYCOIN</t>
  </si>
  <si>
    <t>2.2uH</t>
  </si>
  <si>
    <t>LED</t>
  </si>
  <si>
    <t>LED1, LED2, LED3, LED4, LED5</t>
  </si>
  <si>
    <t>Emerald 0603 Light Emitting Diodes (LED) ROHS</t>
  </si>
  <si>
    <t>LED-0603</t>
  </si>
  <si>
    <t>NCD0603G2</t>
  </si>
  <si>
    <t>Foshan NationStar Optoelectronics</t>
  </si>
  <si>
    <t>LED6, LED7</t>
  </si>
  <si>
    <t>RED LED 0603 Light Emitting Diodes</t>
  </si>
  <si>
    <t>NCD0603R3</t>
  </si>
  <si>
    <t>Transistor</t>
  </si>
  <si>
    <t>Q1</t>
  </si>
  <si>
    <t>TRANS NPN 40V 0.2A SOT523</t>
  </si>
  <si>
    <t>SOT-523</t>
  </si>
  <si>
    <t>MMBT3904T-7-F</t>
  </si>
  <si>
    <t>Diodes Zetex</t>
  </si>
  <si>
    <t>Triac</t>
  </si>
  <si>
    <t>Q2</t>
  </si>
  <si>
    <t>10mA 600V 1 TRIAC SOT-23-3L Thyristors (SCR)/Modules ROHS</t>
  </si>
  <si>
    <t>MAC97A6-23-3L</t>
  </si>
  <si>
    <t>KY</t>
  </si>
  <si>
    <t>SCRs</t>
  </si>
  <si>
    <t>Q5, Q8</t>
  </si>
  <si>
    <t>SCR 800V 1.25A SOT223</t>
  </si>
  <si>
    <t>SOT- 223</t>
  </si>
  <si>
    <t>X0202NN 5BA4</t>
  </si>
  <si>
    <t>BJTs</t>
  </si>
  <si>
    <t>Q6</t>
  </si>
  <si>
    <t>TRANS NPN 400V 8A D2PAK</t>
  </si>
  <si>
    <t>D2PAK</t>
  </si>
  <si>
    <t>STB13007DT4</t>
  </si>
  <si>
    <t>Resistor</t>
  </si>
  <si>
    <t>R1, R5, R7, R8, R9, R13, R15, R19, R24, R25</t>
  </si>
  <si>
    <t>RES SMD 0R, 1%, 0.1W, 0603</t>
  </si>
  <si>
    <t>Res-0603</t>
  </si>
  <si>
    <t>RC0603FR-070RL</t>
  </si>
  <si>
    <t>0R</t>
  </si>
  <si>
    <t>R2, R6, R10, R14, R16, R20</t>
  </si>
  <si>
    <t>RES SMD 1K OHM 1% 1/10W 0603</t>
  </si>
  <si>
    <t>RC0603FR-071KL</t>
  </si>
  <si>
    <t>1K</t>
  </si>
  <si>
    <t>Resistors</t>
  </si>
  <si>
    <t>R3, R4, R11, R12, R17, R18</t>
  </si>
  <si>
    <t>RES 0.002 OHM 1% 3W 2512</t>
  </si>
  <si>
    <t>RES-2512</t>
  </si>
  <si>
    <t>PA2512FKE7T0R002E</t>
  </si>
  <si>
    <t>2mR</t>
  </si>
  <si>
    <t>R21, R22, R65, R66, R142, R143, R147</t>
  </si>
  <si>
    <t>RES 4.7K OHM 1% 1/16W 0402</t>
  </si>
  <si>
    <t>Res-0402</t>
  </si>
  <si>
    <t>RC0402FR-074K7L</t>
  </si>
  <si>
    <t>4.7K</t>
  </si>
  <si>
    <t>R23</t>
  </si>
  <si>
    <t>RES SMD 10K Ohm 1% 1/10W 0603</t>
  </si>
  <si>
    <t>RC0603FR-0710KL</t>
  </si>
  <si>
    <t>10K</t>
  </si>
  <si>
    <t>R26, R27, R28, R29</t>
  </si>
  <si>
    <t>RES SMD 680 OHM 1% 1/10W 0603</t>
  </si>
  <si>
    <t>RC0603FR-07680RL</t>
  </si>
  <si>
    <t>680R</t>
  </si>
  <si>
    <t>R30, R31, R32, R33, R36, R37, R38, R39, R42, R43, R44, R45</t>
  </si>
  <si>
    <t>RES SMD 200K OHM 1% 1W 2512</t>
  </si>
  <si>
    <t>CRCW2512200KFKEG</t>
  </si>
  <si>
    <t>Vishay Dale</t>
  </si>
  <si>
    <t>200K</t>
  </si>
  <si>
    <t>R34, R35, R40, R41, R46, R47, R74</t>
  </si>
  <si>
    <t>RES 1K OHM 5% 1W 2512</t>
  </si>
  <si>
    <t>RC2512JK-071KL</t>
  </si>
  <si>
    <t>R48, R49, R50, R51, R52, R53, R54, R55, R56, R57, R58, R59, R60, R61, R62, R63, R64, R91, R92, R95, R152, R166, R167, R168, R169</t>
  </si>
  <si>
    <t>RES 0 OHM JUMPER 1/16W 0402</t>
  </si>
  <si>
    <t>RC0402FR-070RL</t>
  </si>
  <si>
    <t>R67, R76, R77, R78, R79, R80, R81, R82, R83, R89, R90, R157, R175</t>
  </si>
  <si>
    <t>RES 10K OHM 1% 1/16W 0402</t>
  </si>
  <si>
    <t>RC0402FR-0710KL</t>
  </si>
  <si>
    <t>R68</t>
  </si>
  <si>
    <t>RES 3.3K OHM 1% 1/16W 0402</t>
  </si>
  <si>
    <t>RC0402FR-073K3L</t>
  </si>
  <si>
    <t>3.3K</t>
  </si>
  <si>
    <t>R69, R73</t>
  </si>
  <si>
    <t>RES 1K OHM 1% 1/16W 0402</t>
  </si>
  <si>
    <t>RC0402FR-071KL</t>
  </si>
  <si>
    <t>R70</t>
  </si>
  <si>
    <t>RES SMD 100K OHM 0.1% 1/16W 0402</t>
  </si>
  <si>
    <t>RT0402BRD07100KL</t>
  </si>
  <si>
    <t>R71, R72</t>
  </si>
  <si>
    <t>RES 5.1K OHM 1% 1/16W 0402</t>
  </si>
  <si>
    <t>RC0402FR-075K1L</t>
  </si>
  <si>
    <t>5.1K</t>
  </si>
  <si>
    <t>R75</t>
  </si>
  <si>
    <t>RES 680 OHM 1% 1/16W 0402</t>
  </si>
  <si>
    <t>RC0402FR-07680RL</t>
  </si>
  <si>
    <t>R84, R87, R134, R138</t>
  </si>
  <si>
    <t>RES 0 OHM JUMPER 1/8W 0805</t>
  </si>
  <si>
    <t>Res-0805</t>
  </si>
  <si>
    <t>RC0805FR-070RL</t>
  </si>
  <si>
    <t>R85</t>
  </si>
  <si>
    <t>3W ±1% 200kΩ 2512 Chip Resistor - Surface Mount ROHS</t>
  </si>
  <si>
    <t>HoCUH2512-3W-200KR-1%</t>
  </si>
  <si>
    <t>Milliohm</t>
  </si>
  <si>
    <t>R86</t>
  </si>
  <si>
    <t>RES 6.2K OHM 5% 2W 2512</t>
  </si>
  <si>
    <t>RC2512JK-7W6K2L</t>
  </si>
  <si>
    <t>6.2K</t>
  </si>
  <si>
    <t>R88</t>
  </si>
  <si>
    <t>RES SMD 220 OHM 1% 1/10W 0603</t>
  </si>
  <si>
    <t>RC0603FR-07220RL</t>
  </si>
  <si>
    <t>220R</t>
  </si>
  <si>
    <t>R98, R161</t>
  </si>
  <si>
    <t>RES SMD 4.7K OHM 1% 1/10W 0603</t>
  </si>
  <si>
    <t>RC0603FR-074K7L</t>
  </si>
  <si>
    <t>R99, R100, R101</t>
  </si>
  <si>
    <t>RES 330 OHM 1% 1/4W 1206</t>
  </si>
  <si>
    <t>Res-1206</t>
  </si>
  <si>
    <t>RC1206FR-07330RL</t>
  </si>
  <si>
    <t>330R</t>
  </si>
  <si>
    <t>R102, R144</t>
  </si>
  <si>
    <t>RES 0 OHM JUMPER 1W 2512</t>
  </si>
  <si>
    <t>RC2512JK-070RL</t>
  </si>
  <si>
    <t>R103, R104, R139, R140, R145, R146</t>
  </si>
  <si>
    <t>1W Thick Film Resistor 200V ±100ppm/℃ ±1% 10kΩ 2512 Chip Resistor - Surface Mount ROHS</t>
  </si>
  <si>
    <t>FRC2512F1002TS</t>
  </si>
  <si>
    <t>FOJAN</t>
  </si>
  <si>
    <t>R132, R133, R135</t>
  </si>
  <si>
    <t>R136</t>
  </si>
  <si>
    <t>333mW Thin Film Resistor 200V ±0.5% ±10ppm/℃ 31.6kΩ 1206 Chip Resistor - Surface Mount ROHS</t>
  </si>
  <si>
    <t>TC0610D3162T5K</t>
  </si>
  <si>
    <t>Uniroyal</t>
  </si>
  <si>
    <t>31.6K</t>
  </si>
  <si>
    <t>R137</t>
  </si>
  <si>
    <t>RES SMD 243 OHM 1% 1/4W 1206</t>
  </si>
  <si>
    <t>AC1206FR-07243RL</t>
  </si>
  <si>
    <t>Yageo Group</t>
  </si>
  <si>
    <t>243R</t>
  </si>
  <si>
    <t>R141, R173</t>
  </si>
  <si>
    <t>RES 3.3K OHM 0.5% 1/10W 0603</t>
  </si>
  <si>
    <t>RC0603DR-073K3L</t>
  </si>
  <si>
    <t>R148</t>
  </si>
  <si>
    <t>1.5W Thick Film Resistors 400V ±100ppm/℃ ±5% 1MΩ 2010 Chip Resistor - Surface Mount ROHS</t>
  </si>
  <si>
    <t>RES-2010</t>
  </si>
  <si>
    <t>AS101AJ0105T4E</t>
  </si>
  <si>
    <t>UNI-ROYAL(Uniroyal Elec)</t>
  </si>
  <si>
    <t>1M</t>
  </si>
  <si>
    <t>R150</t>
  </si>
  <si>
    <t>RES 10K OHM 1% 1/10W 0603</t>
  </si>
  <si>
    <t>RK73G1JTTD1002F</t>
  </si>
  <si>
    <t>KOA Speer</t>
  </si>
  <si>
    <t>R158, R170, R171, R172</t>
  </si>
  <si>
    <t>RES 49.9K OHM 1% 1/4W 1206</t>
  </si>
  <si>
    <t>RC1206FR-0749K9L</t>
  </si>
  <si>
    <t>49.9K</t>
  </si>
  <si>
    <t>R162, R163, R164, R165</t>
  </si>
  <si>
    <t>RES 0 OHM JUMPER 1/10W 0603</t>
  </si>
  <si>
    <t>RC0603JR-070RL</t>
  </si>
  <si>
    <t>R174</t>
  </si>
  <si>
    <t>CRCW06031K00FKEA</t>
  </si>
  <si>
    <t>R176, R178</t>
  </si>
  <si>
    <t>RES SMD 220K OHM 0.1% 1/4W 1206</t>
  </si>
  <si>
    <t>RT1206BRD07220KL</t>
  </si>
  <si>
    <t>220K</t>
  </si>
  <si>
    <t>R177</t>
  </si>
  <si>
    <t>250mW Thick Film Resistors 200V ±100ppm/℃ ±1% 330Ω 1206 Chip Resistor - Surface Mount ROHS</t>
  </si>
  <si>
    <t>FRC1206F3300TS</t>
  </si>
  <si>
    <t>Varistors</t>
  </si>
  <si>
    <t>RV3</t>
  </si>
  <si>
    <t>775V 385V 300V 470V Plugin Varistors ROHS</t>
  </si>
  <si>
    <t>471KD10J</t>
  </si>
  <si>
    <t>IC</t>
  </si>
  <si>
    <t>U1</t>
  </si>
  <si>
    <t>IC AFE 7 CHAN 40LFCSP-WQ</t>
  </si>
  <si>
    <t>40-LFCSP-WQ (6x6)</t>
  </si>
  <si>
    <t>ADE9000ACPZ</t>
  </si>
  <si>
    <t>Analog Devices</t>
  </si>
  <si>
    <t>U2</t>
  </si>
  <si>
    <t>DGTL ISO 5000VRMS 4CH GP 16SOIC</t>
  </si>
  <si>
    <t>SOIC-16-300mil</t>
  </si>
  <si>
    <t>ISO7741DWR</t>
  </si>
  <si>
    <t>Texas Instruments</t>
  </si>
  <si>
    <t>U3</t>
  </si>
  <si>
    <t>IC RF TXRX+MCU 802.15.4 73QFN</t>
  </si>
  <si>
    <t>AQFN-73-EP(7x7)</t>
  </si>
  <si>
    <t>NRF52840-QIAA-R</t>
  </si>
  <si>
    <t>Nordic Semiconductor</t>
  </si>
  <si>
    <t>U4</t>
  </si>
  <si>
    <t>IC FLASH 128MBIT SPI/QUAD 8WSON</t>
  </si>
  <si>
    <t>WSON-8-EP(6x8)</t>
  </si>
  <si>
    <t>W25Q128JVEIQ</t>
  </si>
  <si>
    <t>Winbond</t>
  </si>
  <si>
    <t>U5</t>
  </si>
  <si>
    <t>1.6-V TO 5.5-V, 20-M, 4-A LOW IQ</t>
  </si>
  <si>
    <t>SOT-583</t>
  </si>
  <si>
    <t>TPS2117DRLR</t>
  </si>
  <si>
    <t>U6</t>
  </si>
  <si>
    <t>IC REG BUCK BST 3.3V 900MA 10SON</t>
  </si>
  <si>
    <t>10-SON (2.5x2.5)</t>
  </si>
  <si>
    <t>TPS63031DSKR</t>
  </si>
  <si>
    <t>Power Module</t>
  </si>
  <si>
    <t>U7</t>
  </si>
  <si>
    <t>Plugin Isolated Power Modules ROHS</t>
  </si>
  <si>
    <t>B0303S-1WR2</t>
  </si>
  <si>
    <t>YLPTEC</t>
  </si>
  <si>
    <t>(TVS/ESD)</t>
  </si>
  <si>
    <t>U8</t>
  </si>
  <si>
    <t>6A 12V 150W 6V Unidirectional 5V SOT-23-6 ESD and Surge Protection (TVS/ESD) ROHS</t>
  </si>
  <si>
    <t>SOT-23-6</t>
  </si>
  <si>
    <t>USBLC6-2SC6</t>
  </si>
  <si>
    <t>TECH PUBLIC</t>
  </si>
  <si>
    <t>U9</t>
  </si>
  <si>
    <t>4V~6V Polymer 1 3.5A SOP-8-EP Battery Management ICs ROHS</t>
  </si>
  <si>
    <t>8-SO-EP_</t>
  </si>
  <si>
    <t>SLM6600</t>
  </si>
  <si>
    <t>SOLA-IC</t>
  </si>
  <si>
    <t>U10</t>
  </si>
  <si>
    <t>IC BATT MON LI-ION 1CELL 8TDFN</t>
  </si>
  <si>
    <t>8-TDFN-EP (2x2)</t>
  </si>
  <si>
    <t>MAX17048G+T10</t>
  </si>
  <si>
    <t>Maxim</t>
  </si>
  <si>
    <t>U11</t>
  </si>
  <si>
    <t>SHTC3 Series Digital ±2% RH SMT Humidity Temperature Sensor - DFN-8</t>
  </si>
  <si>
    <t>4-WDFN Exposed Pad</t>
  </si>
  <si>
    <t>SHTC3-TR-2.5KS</t>
  </si>
  <si>
    <t>Sensirion</t>
  </si>
  <si>
    <t>Accelerometers</t>
  </si>
  <si>
    <t>U12</t>
  </si>
  <si>
    <t>ACCEL 2-16G I2C/SPI 14LGA</t>
  </si>
  <si>
    <t>14-LGA (3x5)</t>
  </si>
  <si>
    <t>ADXL345BCCZ-RL7</t>
  </si>
  <si>
    <t>U13</t>
  </si>
  <si>
    <t>IC ADC 16BIT SIGMA-DELTA 10VSSOP</t>
  </si>
  <si>
    <t>VSSOP-10</t>
  </si>
  <si>
    <t>ADS1115IDGSR</t>
  </si>
  <si>
    <t>Current Sensors</t>
  </si>
  <si>
    <t>U14</t>
  </si>
  <si>
    <t>POSITION&amp;CURRENT SENSORS</t>
  </si>
  <si>
    <t>TISON-8(8x8)</t>
  </si>
  <si>
    <t>TLI4971-A120T5-U-E0001</t>
  </si>
  <si>
    <t>Infineon</t>
  </si>
  <si>
    <t>U15</t>
  </si>
  <si>
    <t>OPTOISOLATOR 4.17KV TRIAC 6SMD</t>
  </si>
  <si>
    <t>SMD-6P</t>
  </si>
  <si>
    <t>MOC3083SR2M</t>
  </si>
  <si>
    <t>Sensor and Detector Interfaces</t>
  </si>
  <si>
    <t>U17</t>
  </si>
  <si>
    <t>IC SIGNAL PROCESSOR 14TSSOP</t>
  </si>
  <si>
    <t>14-TSSOP</t>
  </si>
  <si>
    <t>NCS37020DTBR2G</t>
  </si>
  <si>
    <t>onsemi</t>
  </si>
  <si>
    <t>U18</t>
  </si>
  <si>
    <t>ISO7740DWR</t>
  </si>
  <si>
    <t>U19, U20</t>
  </si>
  <si>
    <t>OPTOISOLATOR 5.3KV TRANS 4SMD</t>
  </si>
  <si>
    <t>SFH6156-2</t>
  </si>
  <si>
    <t>Vishay</t>
  </si>
  <si>
    <t>Crystal</t>
  </si>
  <si>
    <t>X1</t>
  </si>
  <si>
    <t>24.576MHz Surface Mount Crystal 12pF ±10ppm ±20ppm SMD3225-4P Crystals ROHS</t>
  </si>
  <si>
    <t>SMD3225-4P</t>
  </si>
  <si>
    <t>X322524576MOB4SI</t>
  </si>
  <si>
    <t>YXC</t>
  </si>
  <si>
    <t>24.576MHz</t>
  </si>
  <si>
    <t>X2</t>
  </si>
  <si>
    <t>Crystal, 32.768KHZ, 6PF, 3.2MM X 1.5MM Rohs Compliant: Yes</t>
  </si>
  <si>
    <t>SMD3215-2P</t>
  </si>
  <si>
    <t>Q13FC13500049</t>
  </si>
  <si>
    <t>Epson</t>
  </si>
  <si>
    <t>32.768KHz</t>
  </si>
  <si>
    <t>X3</t>
  </si>
  <si>
    <t>CRYSTAL 32.0000MHZ 8PF SMD</t>
  </si>
  <si>
    <t>SMD2016-4P</t>
  </si>
  <si>
    <t>Q22FA12800025</t>
  </si>
  <si>
    <t>32MHz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</si>
</sst>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23"/>
  <sheetViews>
    <sheetView tabSelected="1" topLeftCell="A103" workbookViewId="0">
      <selection activeCell="E134" sqref="E134"/>
    </sheetView>
  </sheetViews>
  <sheetFormatPr defaultColWidth="9" defaultRowHeight="15"/>
  <cols>
    <col min="2" max="2" width="4.57142857142857" style="1" customWidth="1"/>
    <col min="3" max="3" width="18.7142857142857" style="1" customWidth="1"/>
    <col min="4" max="4" width="36" customWidth="1"/>
    <col min="5" max="5" width="30" customWidth="1"/>
    <col min="6" max="6" width="17.8571428571429" customWidth="1"/>
    <col min="7" max="7" width="27.2857142857143" customWidth="1"/>
    <col min="8" max="8" width="21.4285714285714" customWidth="1"/>
    <col min="9" max="9" width="8.71428571428571" customWidth="1"/>
    <col min="10" max="10" width="9.28571428571429" customWidth="1"/>
    <col min="11" max="11" width="15.5714285714286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6"/>
      <c r="J1" s="16"/>
      <c r="K1" s="16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1</v>
      </c>
      <c r="K3" s="9"/>
    </row>
    <row r="4" ht="24.75" spans="1:11">
      <c r="A4" s="2"/>
      <c r="B4" s="7">
        <f>ROW(B4)-ROW($B$2)</f>
        <v>2</v>
      </c>
      <c r="C4" s="11" t="s">
        <v>17</v>
      </c>
      <c r="D4" s="12" t="s">
        <v>18</v>
      </c>
      <c r="E4" s="13" t="s">
        <v>19</v>
      </c>
      <c r="F4" s="12" t="s">
        <v>20</v>
      </c>
      <c r="G4" s="13" t="s">
        <v>21</v>
      </c>
      <c r="H4" s="12" t="s">
        <v>22</v>
      </c>
      <c r="I4" s="10" t="s">
        <v>16</v>
      </c>
      <c r="J4" s="12">
        <v>1</v>
      </c>
      <c r="K4" s="12"/>
    </row>
    <row r="5" spans="1:11">
      <c r="A5" s="2"/>
      <c r="B5" s="7">
        <f>ROW(B5)-ROW($B$2)</f>
        <v>3</v>
      </c>
      <c r="C5" s="8" t="s">
        <v>23</v>
      </c>
      <c r="D5" s="9" t="s">
        <v>24</v>
      </c>
      <c r="E5" s="10" t="s">
        <v>25</v>
      </c>
      <c r="F5" s="9" t="s">
        <v>26</v>
      </c>
      <c r="G5" s="10" t="s">
        <v>27</v>
      </c>
      <c r="H5" s="9" t="s">
        <v>28</v>
      </c>
      <c r="I5" s="10" t="s">
        <v>29</v>
      </c>
      <c r="J5" s="9">
        <v>12</v>
      </c>
      <c r="K5" s="9"/>
    </row>
    <row r="6" ht="15.75" spans="1:11">
      <c r="A6" s="2"/>
      <c r="B6" s="7">
        <f>ROW(B6)-ROW($B$2)</f>
        <v>4</v>
      </c>
      <c r="C6" s="11" t="s">
        <v>30</v>
      </c>
      <c r="D6" s="12" t="s">
        <v>31</v>
      </c>
      <c r="E6" s="13" t="s">
        <v>32</v>
      </c>
      <c r="F6" s="12" t="s">
        <v>33</v>
      </c>
      <c r="G6" s="13" t="s">
        <v>34</v>
      </c>
      <c r="H6" s="12" t="s">
        <v>35</v>
      </c>
      <c r="I6" s="13" t="s">
        <v>36</v>
      </c>
      <c r="J6" s="12">
        <v>2</v>
      </c>
      <c r="K6" s="12"/>
    </row>
    <row r="7" ht="15.75" spans="1:11">
      <c r="A7" s="2"/>
      <c r="B7" s="7">
        <f>ROW(B7)-ROW($B$2)</f>
        <v>5</v>
      </c>
      <c r="C7" s="8" t="s">
        <v>23</v>
      </c>
      <c r="D7" s="9" t="s">
        <v>37</v>
      </c>
      <c r="E7" s="10" t="s">
        <v>38</v>
      </c>
      <c r="F7" s="9" t="s">
        <v>33</v>
      </c>
      <c r="G7" s="10" t="s">
        <v>39</v>
      </c>
      <c r="H7" s="9" t="s">
        <v>28</v>
      </c>
      <c r="I7" s="10" t="s">
        <v>40</v>
      </c>
      <c r="J7" s="9">
        <v>9</v>
      </c>
      <c r="K7" s="9"/>
    </row>
    <row r="8" ht="15.75" spans="1:11">
      <c r="A8" s="2"/>
      <c r="B8" s="7">
        <f>ROW(B8)-ROW($B$2)</f>
        <v>6</v>
      </c>
      <c r="C8" s="11" t="s">
        <v>23</v>
      </c>
      <c r="D8" s="12" t="s">
        <v>41</v>
      </c>
      <c r="E8" s="13" t="s">
        <v>42</v>
      </c>
      <c r="F8" s="12" t="s">
        <v>33</v>
      </c>
      <c r="G8" s="13" t="s">
        <v>43</v>
      </c>
      <c r="H8" s="12" t="s">
        <v>28</v>
      </c>
      <c r="I8" s="13" t="s">
        <v>44</v>
      </c>
      <c r="J8" s="12">
        <v>4</v>
      </c>
      <c r="K8" s="12"/>
    </row>
    <row r="9" ht="24.75" spans="1:11">
      <c r="A9" s="2"/>
      <c r="B9" s="7">
        <f>ROW(B9)-ROW($B$2)</f>
        <v>7</v>
      </c>
      <c r="C9" s="8" t="s">
        <v>23</v>
      </c>
      <c r="D9" s="9" t="s">
        <v>45</v>
      </c>
      <c r="E9" s="10" t="s">
        <v>46</v>
      </c>
      <c r="F9" s="9" t="s">
        <v>33</v>
      </c>
      <c r="G9" s="10" t="s">
        <v>47</v>
      </c>
      <c r="H9" s="9" t="s">
        <v>28</v>
      </c>
      <c r="I9" s="10" t="s">
        <v>48</v>
      </c>
      <c r="J9" s="9">
        <v>3</v>
      </c>
      <c r="K9" s="9"/>
    </row>
    <row r="10" ht="15.75" spans="1:11">
      <c r="A10" s="2"/>
      <c r="B10" s="7">
        <f>ROW(B10)-ROW($B$2)</f>
        <v>8</v>
      </c>
      <c r="C10" s="11" t="s">
        <v>23</v>
      </c>
      <c r="D10" s="12" t="s">
        <v>49</v>
      </c>
      <c r="E10" s="13" t="s">
        <v>50</v>
      </c>
      <c r="F10" s="12" t="s">
        <v>51</v>
      </c>
      <c r="G10" s="13" t="s">
        <v>52</v>
      </c>
      <c r="H10" s="12" t="s">
        <v>35</v>
      </c>
      <c r="I10" s="13" t="s">
        <v>29</v>
      </c>
      <c r="J10" s="12">
        <v>6</v>
      </c>
      <c r="K10" s="12"/>
    </row>
    <row r="11" ht="15.75" spans="1:11">
      <c r="A11" s="2"/>
      <c r="B11" s="7">
        <f>ROW(B11)-ROW($B$2)</f>
        <v>9</v>
      </c>
      <c r="C11" s="8" t="s">
        <v>30</v>
      </c>
      <c r="D11" s="9" t="s">
        <v>53</v>
      </c>
      <c r="E11" s="10" t="s">
        <v>54</v>
      </c>
      <c r="F11" s="9" t="s">
        <v>55</v>
      </c>
      <c r="G11" s="10" t="s">
        <v>56</v>
      </c>
      <c r="H11" s="9" t="s">
        <v>35</v>
      </c>
      <c r="I11" s="10" t="s">
        <v>57</v>
      </c>
      <c r="J11" s="9">
        <v>2</v>
      </c>
      <c r="K11" s="9"/>
    </row>
    <row r="12" spans="1:11">
      <c r="A12" s="2"/>
      <c r="B12" s="7">
        <f>ROW(B12)-ROW($B$2)</f>
        <v>10</v>
      </c>
      <c r="C12" s="11" t="s">
        <v>30</v>
      </c>
      <c r="D12" s="12" t="s">
        <v>58</v>
      </c>
      <c r="E12" s="13" t="s">
        <v>59</v>
      </c>
      <c r="F12" s="12" t="s">
        <v>55</v>
      </c>
      <c r="G12" s="13" t="s">
        <v>60</v>
      </c>
      <c r="H12" s="12" t="s">
        <v>35</v>
      </c>
      <c r="I12" s="13" t="s">
        <v>61</v>
      </c>
      <c r="J12" s="12">
        <v>1</v>
      </c>
      <c r="K12" s="12"/>
    </row>
    <row r="13" ht="15.75" spans="1:11">
      <c r="A13" s="2"/>
      <c r="B13" s="7">
        <f>ROW(B13)-ROW($B$2)</f>
        <v>11</v>
      </c>
      <c r="C13" s="8" t="s">
        <v>23</v>
      </c>
      <c r="D13" s="14" t="s">
        <v>62</v>
      </c>
      <c r="E13" s="15" t="s">
        <v>63</v>
      </c>
      <c r="F13" s="14" t="s">
        <v>55</v>
      </c>
      <c r="G13" s="15" t="s">
        <v>64</v>
      </c>
      <c r="H13" s="14" t="s">
        <v>35</v>
      </c>
      <c r="I13" s="15" t="s">
        <v>65</v>
      </c>
      <c r="J13" s="14">
        <v>2</v>
      </c>
      <c r="K13" s="17" t="s">
        <v>66</v>
      </c>
    </row>
    <row r="14" spans="1:11">
      <c r="A14" s="2"/>
      <c r="B14" s="7">
        <f>ROW(B14)-ROW($B$2)</f>
        <v>12</v>
      </c>
      <c r="C14" s="11" t="s">
        <v>23</v>
      </c>
      <c r="D14" s="12" t="s">
        <v>67</v>
      </c>
      <c r="E14" s="13" t="s">
        <v>63</v>
      </c>
      <c r="F14" s="12" t="s">
        <v>55</v>
      </c>
      <c r="G14" s="13" t="s">
        <v>64</v>
      </c>
      <c r="H14" s="12" t="s">
        <v>35</v>
      </c>
      <c r="I14" s="13" t="s">
        <v>40</v>
      </c>
      <c r="J14" s="12">
        <v>9</v>
      </c>
      <c r="K14" s="12"/>
    </row>
    <row r="15" ht="15.75" spans="1:11">
      <c r="A15" s="2"/>
      <c r="B15" s="7">
        <f>ROW(B15)-ROW($B$2)</f>
        <v>13</v>
      </c>
      <c r="C15" s="8" t="s">
        <v>30</v>
      </c>
      <c r="D15" s="9" t="s">
        <v>68</v>
      </c>
      <c r="E15" s="10" t="s">
        <v>69</v>
      </c>
      <c r="F15" s="9" t="s">
        <v>55</v>
      </c>
      <c r="G15" s="10" t="s">
        <v>70</v>
      </c>
      <c r="H15" s="9" t="s">
        <v>35</v>
      </c>
      <c r="I15" s="10" t="s">
        <v>71</v>
      </c>
      <c r="J15" s="9">
        <v>2</v>
      </c>
      <c r="K15" s="9"/>
    </row>
    <row r="16" ht="15.75" spans="1:11">
      <c r="A16" s="2"/>
      <c r="B16" s="7">
        <f>ROW(B16)-ROW($B$2)</f>
        <v>14</v>
      </c>
      <c r="C16" s="11" t="s">
        <v>30</v>
      </c>
      <c r="D16" s="12" t="s">
        <v>72</v>
      </c>
      <c r="E16" s="13" t="s">
        <v>73</v>
      </c>
      <c r="F16" s="12" t="s">
        <v>55</v>
      </c>
      <c r="G16" s="13" t="s">
        <v>74</v>
      </c>
      <c r="H16" s="12" t="s">
        <v>35</v>
      </c>
      <c r="I16" s="13" t="s">
        <v>75</v>
      </c>
      <c r="J16" s="12">
        <v>1</v>
      </c>
      <c r="K16" s="12"/>
    </row>
    <row r="17" ht="15.75" spans="1:11">
      <c r="A17" s="2"/>
      <c r="B17" s="7">
        <f>ROW(B17)-ROW($B$2)</f>
        <v>15</v>
      </c>
      <c r="C17" s="8" t="s">
        <v>30</v>
      </c>
      <c r="D17" s="9" t="s">
        <v>76</v>
      </c>
      <c r="E17" s="10" t="s">
        <v>77</v>
      </c>
      <c r="F17" s="9" t="s">
        <v>55</v>
      </c>
      <c r="G17" s="10" t="s">
        <v>78</v>
      </c>
      <c r="H17" s="9" t="s">
        <v>28</v>
      </c>
      <c r="I17" s="10" t="s">
        <v>79</v>
      </c>
      <c r="J17" s="9">
        <v>1</v>
      </c>
      <c r="K17" s="9"/>
    </row>
    <row r="18" ht="24.75" spans="1:11">
      <c r="A18" s="2"/>
      <c r="B18" s="7">
        <f>ROW(B18)-ROW($B$2)</f>
        <v>16</v>
      </c>
      <c r="C18" s="11" t="s">
        <v>30</v>
      </c>
      <c r="D18" s="12" t="s">
        <v>80</v>
      </c>
      <c r="E18" s="13" t="s">
        <v>81</v>
      </c>
      <c r="F18" s="12" t="s">
        <v>55</v>
      </c>
      <c r="G18" s="13" t="s">
        <v>82</v>
      </c>
      <c r="H18" s="12" t="s">
        <v>83</v>
      </c>
      <c r="I18" s="13" t="s">
        <v>84</v>
      </c>
      <c r="J18" s="12">
        <v>2</v>
      </c>
      <c r="K18" s="12"/>
    </row>
    <row r="19" spans="1:11">
      <c r="A19" s="2"/>
      <c r="B19" s="7">
        <f>ROW(B19)-ROW($B$2)</f>
        <v>17</v>
      </c>
      <c r="C19" s="8" t="s">
        <v>30</v>
      </c>
      <c r="D19" s="9" t="s">
        <v>85</v>
      </c>
      <c r="E19" s="10" t="s">
        <v>86</v>
      </c>
      <c r="F19" s="9" t="s">
        <v>55</v>
      </c>
      <c r="G19" s="10" t="s">
        <v>87</v>
      </c>
      <c r="H19" s="9" t="s">
        <v>35</v>
      </c>
      <c r="I19" s="10" t="s">
        <v>88</v>
      </c>
      <c r="J19" s="9">
        <v>1</v>
      </c>
      <c r="K19" s="9"/>
    </row>
    <row r="20" spans="1:11">
      <c r="A20" s="2"/>
      <c r="B20" s="7">
        <f>ROW(B20)-ROW($B$2)</f>
        <v>18</v>
      </c>
      <c r="C20" s="8" t="s">
        <v>30</v>
      </c>
      <c r="D20" s="12" t="s">
        <v>89</v>
      </c>
      <c r="E20" s="13" t="s">
        <v>90</v>
      </c>
      <c r="F20" s="12" t="s">
        <v>33</v>
      </c>
      <c r="G20" s="13" t="s">
        <v>91</v>
      </c>
      <c r="H20" s="12" t="s">
        <v>35</v>
      </c>
      <c r="I20" s="13" t="s">
        <v>92</v>
      </c>
      <c r="J20" s="12">
        <v>1</v>
      </c>
      <c r="K20" s="12"/>
    </row>
    <row r="21" spans="1:11">
      <c r="A21" s="2"/>
      <c r="B21" s="7">
        <f>ROW(B21)-ROW($B$2)</f>
        <v>19</v>
      </c>
      <c r="C21" s="8" t="s">
        <v>30</v>
      </c>
      <c r="D21" s="9" t="s">
        <v>93</v>
      </c>
      <c r="E21" s="10" t="s">
        <v>94</v>
      </c>
      <c r="F21" s="9" t="s">
        <v>55</v>
      </c>
      <c r="G21" s="10" t="s">
        <v>95</v>
      </c>
      <c r="H21" s="9" t="s">
        <v>96</v>
      </c>
      <c r="I21" s="10" t="s">
        <v>44</v>
      </c>
      <c r="J21" s="9">
        <v>3</v>
      </c>
      <c r="K21" s="9"/>
    </row>
    <row r="22" spans="1:11">
      <c r="A22" s="2"/>
      <c r="B22" s="7">
        <f>ROW(B22)-ROW($B$2)</f>
        <v>20</v>
      </c>
      <c r="C22" s="11" t="s">
        <v>30</v>
      </c>
      <c r="D22" s="12" t="s">
        <v>97</v>
      </c>
      <c r="E22" s="13" t="s">
        <v>98</v>
      </c>
      <c r="F22" s="12" t="s">
        <v>99</v>
      </c>
      <c r="G22" s="13" t="s">
        <v>100</v>
      </c>
      <c r="H22" s="12" t="s">
        <v>101</v>
      </c>
      <c r="I22" s="13" t="s">
        <v>102</v>
      </c>
      <c r="J22" s="12">
        <v>1</v>
      </c>
      <c r="K22" s="12"/>
    </row>
    <row r="23" ht="15.75" spans="1:11">
      <c r="A23" s="2"/>
      <c r="B23" s="7">
        <f>ROW(B23)-ROW($B$2)</f>
        <v>21</v>
      </c>
      <c r="C23" s="8" t="s">
        <v>30</v>
      </c>
      <c r="D23" s="9" t="s">
        <v>103</v>
      </c>
      <c r="E23" s="10" t="s">
        <v>104</v>
      </c>
      <c r="F23" s="9" t="s">
        <v>33</v>
      </c>
      <c r="G23" s="10" t="s">
        <v>105</v>
      </c>
      <c r="H23" s="9" t="s">
        <v>28</v>
      </c>
      <c r="I23" s="10" t="s">
        <v>106</v>
      </c>
      <c r="J23" s="9">
        <v>7</v>
      </c>
      <c r="K23" s="9"/>
    </row>
    <row r="24" ht="15.75" spans="1:11">
      <c r="A24" s="2"/>
      <c r="B24" s="7">
        <f>ROW(B24)-ROW($B$2)</f>
        <v>22</v>
      </c>
      <c r="C24" s="11" t="s">
        <v>30</v>
      </c>
      <c r="D24" s="12" t="s">
        <v>107</v>
      </c>
      <c r="E24" s="13" t="s">
        <v>63</v>
      </c>
      <c r="F24" s="12" t="s">
        <v>55</v>
      </c>
      <c r="G24" s="13" t="s">
        <v>108</v>
      </c>
      <c r="H24" s="12" t="s">
        <v>35</v>
      </c>
      <c r="I24" s="13" t="s">
        <v>40</v>
      </c>
      <c r="J24" s="12">
        <v>2</v>
      </c>
      <c r="K24" s="12"/>
    </row>
    <row r="25" ht="15.75" spans="1:11">
      <c r="A25" s="2"/>
      <c r="B25" s="7">
        <f>ROW(B25)-ROW($B$2)</f>
        <v>23</v>
      </c>
      <c r="C25" s="8" t="s">
        <v>30</v>
      </c>
      <c r="D25" s="9" t="s">
        <v>109</v>
      </c>
      <c r="E25" s="10" t="s">
        <v>110</v>
      </c>
      <c r="F25" s="9" t="s">
        <v>26</v>
      </c>
      <c r="G25" s="10" t="s">
        <v>111</v>
      </c>
      <c r="H25" s="9" t="s">
        <v>28</v>
      </c>
      <c r="I25" s="10" t="s">
        <v>112</v>
      </c>
      <c r="J25" s="9">
        <v>2</v>
      </c>
      <c r="K25" s="9"/>
    </row>
    <row r="26" ht="15.75" spans="1:11">
      <c r="A26" s="2"/>
      <c r="B26" s="7">
        <f>ROW(B26)-ROW($B$2)</f>
        <v>24</v>
      </c>
      <c r="C26" s="11" t="s">
        <v>23</v>
      </c>
      <c r="D26" s="12" t="s">
        <v>113</v>
      </c>
      <c r="E26" s="13" t="s">
        <v>114</v>
      </c>
      <c r="F26" s="12" t="s">
        <v>55</v>
      </c>
      <c r="G26" s="13" t="s">
        <v>115</v>
      </c>
      <c r="H26" s="12" t="s">
        <v>28</v>
      </c>
      <c r="I26" s="13" t="s">
        <v>57</v>
      </c>
      <c r="J26" s="12">
        <v>1</v>
      </c>
      <c r="K26" s="12"/>
    </row>
    <row r="27" ht="36.75" spans="1:11">
      <c r="A27" s="2"/>
      <c r="B27" s="7">
        <f>ROW(B27)-ROW($B$2)</f>
        <v>25</v>
      </c>
      <c r="C27" s="8" t="s">
        <v>30</v>
      </c>
      <c r="D27" s="9" t="s">
        <v>116</v>
      </c>
      <c r="E27" s="10" t="s">
        <v>117</v>
      </c>
      <c r="F27" s="12" t="s">
        <v>99</v>
      </c>
      <c r="G27" s="10" t="s">
        <v>118</v>
      </c>
      <c r="H27" s="9" t="s">
        <v>119</v>
      </c>
      <c r="I27" s="10" t="s">
        <v>106</v>
      </c>
      <c r="J27" s="9">
        <v>1</v>
      </c>
      <c r="K27" s="9"/>
    </row>
    <row r="28" ht="15.75" spans="1:11">
      <c r="A28" s="2"/>
      <c r="B28" s="7">
        <f>ROW(B28)-ROW($B$2)</f>
        <v>26</v>
      </c>
      <c r="C28" s="11" t="s">
        <v>23</v>
      </c>
      <c r="D28" s="12" t="s">
        <v>120</v>
      </c>
      <c r="E28" s="13" t="s">
        <v>38</v>
      </c>
      <c r="F28" s="12" t="s">
        <v>33</v>
      </c>
      <c r="G28" s="13" t="s">
        <v>121</v>
      </c>
      <c r="H28" s="12" t="s">
        <v>35</v>
      </c>
      <c r="I28" s="13" t="s">
        <v>40</v>
      </c>
      <c r="J28" s="12">
        <v>1</v>
      </c>
      <c r="K28" s="12"/>
    </row>
    <row r="29" ht="15.75" spans="1:11">
      <c r="A29" s="2"/>
      <c r="B29" s="7">
        <f>ROW(B29)-ROW($B$2)</f>
        <v>27</v>
      </c>
      <c r="C29" s="8" t="s">
        <v>30</v>
      </c>
      <c r="D29" s="9" t="s">
        <v>122</v>
      </c>
      <c r="E29" s="10" t="s">
        <v>123</v>
      </c>
      <c r="F29" s="9" t="s">
        <v>33</v>
      </c>
      <c r="G29" s="10" t="s">
        <v>124</v>
      </c>
      <c r="H29" s="9" t="s">
        <v>125</v>
      </c>
      <c r="I29" s="10" t="s">
        <v>126</v>
      </c>
      <c r="J29" s="9">
        <v>2</v>
      </c>
      <c r="K29" s="9"/>
    </row>
    <row r="30" ht="15.75" spans="1:11">
      <c r="A30" s="2"/>
      <c r="B30" s="7">
        <f>ROW(B30)-ROW($B$2)</f>
        <v>28</v>
      </c>
      <c r="C30" s="11" t="s">
        <v>30</v>
      </c>
      <c r="D30" s="12" t="s">
        <v>127</v>
      </c>
      <c r="E30" s="13" t="s">
        <v>128</v>
      </c>
      <c r="F30" s="12" t="s">
        <v>33</v>
      </c>
      <c r="G30" s="13" t="s">
        <v>129</v>
      </c>
      <c r="H30" s="12" t="s">
        <v>35</v>
      </c>
      <c r="I30" s="13" t="s">
        <v>130</v>
      </c>
      <c r="J30" s="12">
        <v>1</v>
      </c>
      <c r="K30" s="12"/>
    </row>
    <row r="31" ht="15.75" spans="1:11">
      <c r="A31" s="2"/>
      <c r="B31" s="7">
        <f>ROW(B31)-ROW($B$2)</f>
        <v>29</v>
      </c>
      <c r="C31" s="8" t="s">
        <v>30</v>
      </c>
      <c r="D31" s="9" t="s">
        <v>131</v>
      </c>
      <c r="E31" s="10" t="s">
        <v>132</v>
      </c>
      <c r="F31" s="9" t="s">
        <v>55</v>
      </c>
      <c r="G31" s="10" t="s">
        <v>133</v>
      </c>
      <c r="H31" s="9" t="s">
        <v>35</v>
      </c>
      <c r="I31" s="10" t="s">
        <v>134</v>
      </c>
      <c r="J31" s="9">
        <v>2</v>
      </c>
      <c r="K31" s="9"/>
    </row>
    <row r="32" ht="15.75" spans="1:11">
      <c r="A32" s="2"/>
      <c r="B32" s="7">
        <f>ROW(B32)-ROW($B$2)</f>
        <v>30</v>
      </c>
      <c r="C32" s="11" t="s">
        <v>30</v>
      </c>
      <c r="D32" s="12" t="s">
        <v>135</v>
      </c>
      <c r="E32" s="13" t="s">
        <v>136</v>
      </c>
      <c r="F32" s="12" t="s">
        <v>33</v>
      </c>
      <c r="G32" s="13"/>
      <c r="H32" s="12"/>
      <c r="I32" s="13" t="s">
        <v>137</v>
      </c>
      <c r="J32" s="12">
        <v>1</v>
      </c>
      <c r="K32" s="12"/>
    </row>
    <row r="33" ht="15.75" spans="1:11">
      <c r="A33" s="2"/>
      <c r="B33" s="7">
        <f>ROW(B33)-ROW($B$2)</f>
        <v>31</v>
      </c>
      <c r="C33" s="8" t="s">
        <v>30</v>
      </c>
      <c r="D33" s="9" t="s">
        <v>138</v>
      </c>
      <c r="E33" s="10" t="s">
        <v>139</v>
      </c>
      <c r="F33" s="9" t="s">
        <v>33</v>
      </c>
      <c r="G33" s="10" t="s">
        <v>140</v>
      </c>
      <c r="H33" s="9" t="s">
        <v>35</v>
      </c>
      <c r="I33" s="10" t="s">
        <v>141</v>
      </c>
      <c r="J33" s="9">
        <v>1</v>
      </c>
      <c r="K33" s="9"/>
    </row>
    <row r="34" ht="15.75" spans="1:11">
      <c r="A34" s="2"/>
      <c r="B34" s="7">
        <f>ROW(B34)-ROW($B$2)</f>
        <v>32</v>
      </c>
      <c r="C34" s="11" t="s">
        <v>23</v>
      </c>
      <c r="D34" s="12" t="s">
        <v>142</v>
      </c>
      <c r="E34" s="13" t="s">
        <v>143</v>
      </c>
      <c r="F34" s="12" t="s">
        <v>33</v>
      </c>
      <c r="G34" s="13" t="s">
        <v>144</v>
      </c>
      <c r="H34" s="12" t="s">
        <v>28</v>
      </c>
      <c r="I34" s="13" t="s">
        <v>145</v>
      </c>
      <c r="J34" s="12">
        <v>1</v>
      </c>
      <c r="K34" s="12"/>
    </row>
    <row r="35" ht="15.75" spans="1:11">
      <c r="A35" s="2"/>
      <c r="B35" s="7">
        <f>ROW(B35)-ROW($B$2)</f>
        <v>33</v>
      </c>
      <c r="C35" s="8" t="s">
        <v>30</v>
      </c>
      <c r="D35" s="9" t="s">
        <v>146</v>
      </c>
      <c r="E35" s="10" t="s">
        <v>147</v>
      </c>
      <c r="F35" s="9" t="s">
        <v>148</v>
      </c>
      <c r="G35" s="10" t="s">
        <v>149</v>
      </c>
      <c r="H35" s="9" t="s">
        <v>150</v>
      </c>
      <c r="I35" s="10" t="s">
        <v>151</v>
      </c>
      <c r="J35" s="9">
        <v>1</v>
      </c>
      <c r="K35" s="9"/>
    </row>
    <row r="36" ht="15.75" spans="1:11">
      <c r="A36" s="2"/>
      <c r="B36" s="7">
        <f>ROW(B36)-ROW($B$2)</f>
        <v>34</v>
      </c>
      <c r="C36" s="11" t="s">
        <v>23</v>
      </c>
      <c r="D36" s="12" t="s">
        <v>152</v>
      </c>
      <c r="E36" s="13" t="s">
        <v>153</v>
      </c>
      <c r="F36" s="12" t="s">
        <v>33</v>
      </c>
      <c r="G36" s="13" t="s">
        <v>154</v>
      </c>
      <c r="H36" s="12" t="s">
        <v>35</v>
      </c>
      <c r="I36" s="13" t="s">
        <v>145</v>
      </c>
      <c r="J36" s="12">
        <v>1</v>
      </c>
      <c r="K36" s="12"/>
    </row>
    <row r="37" ht="15.75" spans="1:11">
      <c r="A37" s="2"/>
      <c r="B37" s="7">
        <f>ROW(B37)-ROW($B$2)</f>
        <v>35</v>
      </c>
      <c r="C37" s="8" t="s">
        <v>23</v>
      </c>
      <c r="D37" s="9" t="s">
        <v>155</v>
      </c>
      <c r="E37" s="10" t="s">
        <v>156</v>
      </c>
      <c r="F37" s="9" t="s">
        <v>33</v>
      </c>
      <c r="G37" s="10" t="s">
        <v>157</v>
      </c>
      <c r="H37" s="9" t="s">
        <v>150</v>
      </c>
      <c r="I37" s="10" t="s">
        <v>57</v>
      </c>
      <c r="J37" s="9">
        <v>1</v>
      </c>
      <c r="K37" s="9"/>
    </row>
    <row r="38" spans="1:11">
      <c r="A38" s="2"/>
      <c r="B38" s="7">
        <f>ROW(B38)-ROW($B$2)</f>
        <v>36</v>
      </c>
      <c r="C38" s="11" t="s">
        <v>23</v>
      </c>
      <c r="D38" s="12" t="s">
        <v>158</v>
      </c>
      <c r="E38" s="13" t="s">
        <v>159</v>
      </c>
      <c r="F38" s="12" t="s">
        <v>26</v>
      </c>
      <c r="G38" s="13" t="s">
        <v>160</v>
      </c>
      <c r="H38" s="12" t="s">
        <v>35</v>
      </c>
      <c r="I38" s="13" t="s">
        <v>161</v>
      </c>
      <c r="J38" s="12">
        <v>1</v>
      </c>
      <c r="K38" s="12"/>
    </row>
    <row r="39" spans="1:11">
      <c r="A39" s="2"/>
      <c r="B39" s="7">
        <f>ROW(B39)-ROW($B$2)</f>
        <v>37</v>
      </c>
      <c r="C39" s="8" t="s">
        <v>17</v>
      </c>
      <c r="D39" s="9" t="s">
        <v>162</v>
      </c>
      <c r="E39" s="10" t="s">
        <v>163</v>
      </c>
      <c r="F39" s="9" t="s">
        <v>164</v>
      </c>
      <c r="G39" s="10" t="s">
        <v>165</v>
      </c>
      <c r="H39" s="9" t="s">
        <v>166</v>
      </c>
      <c r="I39" s="10" t="s">
        <v>16</v>
      </c>
      <c r="J39" s="9">
        <v>6</v>
      </c>
      <c r="K39" s="9"/>
    </row>
    <row r="40" ht="24.75" spans="1:11">
      <c r="A40" s="2"/>
      <c r="B40" s="7">
        <f>ROW(B40)-ROW($B$2)</f>
        <v>38</v>
      </c>
      <c r="C40" s="11" t="s">
        <v>167</v>
      </c>
      <c r="D40" s="12" t="s">
        <v>168</v>
      </c>
      <c r="E40" s="13" t="s">
        <v>169</v>
      </c>
      <c r="F40" s="12" t="s">
        <v>170</v>
      </c>
      <c r="G40" s="13" t="s">
        <v>171</v>
      </c>
      <c r="H40" s="12" t="s">
        <v>22</v>
      </c>
      <c r="I40" s="10" t="s">
        <v>16</v>
      </c>
      <c r="J40" s="12">
        <v>1</v>
      </c>
      <c r="K40" s="12"/>
    </row>
    <row r="41" spans="1:11">
      <c r="A41" s="2"/>
      <c r="B41" s="7">
        <f>ROW(B41)-ROW($B$2)</f>
        <v>39</v>
      </c>
      <c r="C41" s="8" t="s">
        <v>172</v>
      </c>
      <c r="D41" s="9" t="s">
        <v>173</v>
      </c>
      <c r="E41" s="10" t="s">
        <v>174</v>
      </c>
      <c r="F41" s="9" t="s">
        <v>175</v>
      </c>
      <c r="G41" s="10" t="s">
        <v>176</v>
      </c>
      <c r="H41" s="9" t="s">
        <v>177</v>
      </c>
      <c r="I41" s="10" t="s">
        <v>16</v>
      </c>
      <c r="J41" s="9">
        <v>1</v>
      </c>
      <c r="K41" s="9"/>
    </row>
    <row r="42" spans="1:11">
      <c r="A42" s="2"/>
      <c r="B42" s="7">
        <f>ROW(B42)-ROW($B$2)</f>
        <v>40</v>
      </c>
      <c r="C42" s="11" t="s">
        <v>17</v>
      </c>
      <c r="D42" s="12" t="s">
        <v>178</v>
      </c>
      <c r="E42" s="13" t="s">
        <v>179</v>
      </c>
      <c r="F42" s="12" t="s">
        <v>180</v>
      </c>
      <c r="G42" s="13" t="s">
        <v>181</v>
      </c>
      <c r="H42" s="12" t="s">
        <v>182</v>
      </c>
      <c r="I42" s="10" t="s">
        <v>16</v>
      </c>
      <c r="J42" s="12">
        <v>4</v>
      </c>
      <c r="K42" s="12"/>
    </row>
    <row r="43" ht="24.75" spans="1:11">
      <c r="A43" s="2"/>
      <c r="B43" s="7">
        <f>ROW(B43)-ROW($B$2)</f>
        <v>41</v>
      </c>
      <c r="C43" s="8" t="s">
        <v>167</v>
      </c>
      <c r="D43" s="9" t="s">
        <v>183</v>
      </c>
      <c r="E43" s="10" t="s">
        <v>184</v>
      </c>
      <c r="F43" s="9" t="s">
        <v>185</v>
      </c>
      <c r="G43" s="10" t="s">
        <v>186</v>
      </c>
      <c r="H43" s="9" t="s">
        <v>187</v>
      </c>
      <c r="I43" s="10" t="s">
        <v>16</v>
      </c>
      <c r="J43" s="9">
        <v>1</v>
      </c>
      <c r="K43" s="9"/>
    </row>
    <row r="44" spans="1:11">
      <c r="A44" s="2"/>
      <c r="B44" s="7">
        <f>ROW(B44)-ROW($B$2)</f>
        <v>42</v>
      </c>
      <c r="C44" s="11" t="s">
        <v>188</v>
      </c>
      <c r="D44" s="12" t="s">
        <v>189</v>
      </c>
      <c r="E44" s="13" t="s">
        <v>190</v>
      </c>
      <c r="F44" s="12" t="s">
        <v>191</v>
      </c>
      <c r="G44" s="13" t="s">
        <v>192</v>
      </c>
      <c r="H44" s="12" t="s">
        <v>28</v>
      </c>
      <c r="I44" s="10" t="s">
        <v>16</v>
      </c>
      <c r="J44" s="12">
        <v>4</v>
      </c>
      <c r="K44" s="12"/>
    </row>
    <row r="45" spans="1:11">
      <c r="A45" s="2"/>
      <c r="B45" s="7">
        <f>ROW(B45)-ROW($B$2)</f>
        <v>43</v>
      </c>
      <c r="C45" s="8" t="s">
        <v>188</v>
      </c>
      <c r="D45" s="9" t="s">
        <v>193</v>
      </c>
      <c r="E45" s="10" t="s">
        <v>194</v>
      </c>
      <c r="F45" s="9" t="s">
        <v>191</v>
      </c>
      <c r="G45" s="10" t="s">
        <v>195</v>
      </c>
      <c r="H45" s="9" t="s">
        <v>28</v>
      </c>
      <c r="I45" s="10" t="s">
        <v>16</v>
      </c>
      <c r="J45" s="9">
        <v>1</v>
      </c>
      <c r="K45" s="9"/>
    </row>
    <row r="46" spans="1:11">
      <c r="A46" s="2"/>
      <c r="B46" s="7">
        <f>ROW(B46)-ROW($B$2)</f>
        <v>44</v>
      </c>
      <c r="C46" s="11" t="s">
        <v>196</v>
      </c>
      <c r="D46" s="12" t="s">
        <v>197</v>
      </c>
      <c r="E46" s="13" t="s">
        <v>198</v>
      </c>
      <c r="F46" s="12" t="s">
        <v>191</v>
      </c>
      <c r="G46" s="13" t="s">
        <v>199</v>
      </c>
      <c r="H46" s="12" t="s">
        <v>150</v>
      </c>
      <c r="I46" s="10" t="s">
        <v>16</v>
      </c>
      <c r="J46" s="12">
        <v>1</v>
      </c>
      <c r="K46" s="12"/>
    </row>
    <row r="47" ht="15.75" spans="1:11">
      <c r="A47" s="2"/>
      <c r="B47" s="7">
        <f>ROW(B47)-ROW($B$2)</f>
        <v>45</v>
      </c>
      <c r="C47" s="8" t="s">
        <v>188</v>
      </c>
      <c r="D47" s="9" t="s">
        <v>200</v>
      </c>
      <c r="E47" s="10" t="s">
        <v>201</v>
      </c>
      <c r="F47" s="9" t="s">
        <v>202</v>
      </c>
      <c r="G47" s="10" t="s">
        <v>203</v>
      </c>
      <c r="H47" s="9" t="s">
        <v>28</v>
      </c>
      <c r="I47" s="10" t="s">
        <v>16</v>
      </c>
      <c r="J47" s="9">
        <v>2</v>
      </c>
      <c r="K47" s="9"/>
    </row>
    <row r="48" ht="24.75" spans="1:11">
      <c r="A48" s="2"/>
      <c r="B48" s="7">
        <f>ROW(B48)-ROW($B$2)</f>
        <v>46</v>
      </c>
      <c r="C48" s="11" t="s">
        <v>204</v>
      </c>
      <c r="D48" s="12" t="s">
        <v>205</v>
      </c>
      <c r="E48" s="13" t="s">
        <v>206</v>
      </c>
      <c r="F48" s="12" t="s">
        <v>99</v>
      </c>
      <c r="G48" s="13" t="s">
        <v>207</v>
      </c>
      <c r="H48" s="12" t="s">
        <v>208</v>
      </c>
      <c r="I48" s="10" t="s">
        <v>16</v>
      </c>
      <c r="J48" s="12">
        <v>1</v>
      </c>
      <c r="K48" s="12"/>
    </row>
    <row r="49" ht="60.75" spans="1:11">
      <c r="A49" s="2"/>
      <c r="B49" s="7">
        <f>ROW(B49)-ROW($B$2)</f>
        <v>47</v>
      </c>
      <c r="C49" s="8" t="s">
        <v>209</v>
      </c>
      <c r="D49" s="9" t="s">
        <v>210</v>
      </c>
      <c r="E49" s="10" t="s">
        <v>211</v>
      </c>
      <c r="F49" s="12" t="s">
        <v>99</v>
      </c>
      <c r="G49" s="10" t="s">
        <v>212</v>
      </c>
      <c r="H49" s="9" t="s">
        <v>213</v>
      </c>
      <c r="I49" s="10" t="s">
        <v>16</v>
      </c>
      <c r="J49" s="9">
        <v>1</v>
      </c>
      <c r="K49" s="9"/>
    </row>
    <row r="50" ht="48.75" spans="1:11">
      <c r="A50" s="2"/>
      <c r="B50" s="7">
        <f>ROW(B50)-ROW($B$2)</f>
        <v>48</v>
      </c>
      <c r="C50" s="11" t="s">
        <v>209</v>
      </c>
      <c r="D50" s="12" t="s">
        <v>214</v>
      </c>
      <c r="E50" s="13" t="s">
        <v>215</v>
      </c>
      <c r="F50" s="12" t="s">
        <v>99</v>
      </c>
      <c r="G50" s="13" t="s">
        <v>216</v>
      </c>
      <c r="H50" s="12" t="s">
        <v>213</v>
      </c>
      <c r="I50" s="10" t="s">
        <v>16</v>
      </c>
      <c r="J50" s="12">
        <v>1</v>
      </c>
      <c r="K50" s="12"/>
    </row>
    <row r="51" spans="1:11">
      <c r="A51" s="2"/>
      <c r="B51" s="7">
        <f>ROW(B51)-ROW($B$2)</f>
        <v>49</v>
      </c>
      <c r="C51" s="8" t="s">
        <v>217</v>
      </c>
      <c r="D51" s="9" t="s">
        <v>218</v>
      </c>
      <c r="E51" s="10" t="s">
        <v>219</v>
      </c>
      <c r="F51" s="12" t="s">
        <v>99</v>
      </c>
      <c r="G51" s="10" t="s">
        <v>220</v>
      </c>
      <c r="H51" s="9" t="s">
        <v>221</v>
      </c>
      <c r="I51" s="10" t="s">
        <v>16</v>
      </c>
      <c r="J51" s="9">
        <v>1</v>
      </c>
      <c r="K51" s="9"/>
    </row>
    <row r="52" ht="60.75" spans="1:11">
      <c r="A52" s="2"/>
      <c r="B52" s="7">
        <f>ROW(B52)-ROW($B$2)</f>
        <v>50</v>
      </c>
      <c r="C52" s="11" t="s">
        <v>209</v>
      </c>
      <c r="D52" s="12" t="s">
        <v>222</v>
      </c>
      <c r="E52" s="13" t="s">
        <v>223</v>
      </c>
      <c r="F52" s="12" t="s">
        <v>99</v>
      </c>
      <c r="G52" s="13" t="s">
        <v>224</v>
      </c>
      <c r="H52" s="12" t="s">
        <v>213</v>
      </c>
      <c r="I52" s="10" t="s">
        <v>16</v>
      </c>
      <c r="J52" s="12">
        <v>1</v>
      </c>
      <c r="K52" s="12"/>
    </row>
    <row r="53" ht="48.75" spans="1:11">
      <c r="A53" s="2"/>
      <c r="B53" s="7">
        <f>ROW(B53)-ROW($B$2)</f>
        <v>51</v>
      </c>
      <c r="C53" s="8" t="s">
        <v>209</v>
      </c>
      <c r="D53" s="9" t="s">
        <v>225</v>
      </c>
      <c r="E53" s="10" t="s">
        <v>226</v>
      </c>
      <c r="F53" s="12" t="s">
        <v>99</v>
      </c>
      <c r="G53" s="10" t="s">
        <v>227</v>
      </c>
      <c r="H53" s="9" t="s">
        <v>213</v>
      </c>
      <c r="I53" s="10" t="s">
        <v>16</v>
      </c>
      <c r="J53" s="9">
        <v>1</v>
      </c>
      <c r="K53" s="9"/>
    </row>
    <row r="54" ht="36.75" spans="1:11">
      <c r="A54" s="2"/>
      <c r="B54" s="7">
        <f>ROW(B54)-ROW($B$2)</f>
        <v>52</v>
      </c>
      <c r="C54" s="11" t="s">
        <v>209</v>
      </c>
      <c r="D54" s="12" t="s">
        <v>228</v>
      </c>
      <c r="E54" s="13" t="s">
        <v>229</v>
      </c>
      <c r="F54" s="12" t="s">
        <v>99</v>
      </c>
      <c r="G54" s="13" t="s">
        <v>230</v>
      </c>
      <c r="H54" s="12" t="s">
        <v>213</v>
      </c>
      <c r="I54" s="10" t="s">
        <v>16</v>
      </c>
      <c r="J54" s="12">
        <v>1</v>
      </c>
      <c r="K54" s="12"/>
    </row>
    <row r="55" ht="36.75" spans="1:11">
      <c r="A55" s="2"/>
      <c r="B55" s="7">
        <f>ROW(B55)-ROW($B$2)</f>
        <v>53</v>
      </c>
      <c r="C55" s="8" t="s">
        <v>209</v>
      </c>
      <c r="D55" s="9" t="s">
        <v>231</v>
      </c>
      <c r="E55" s="10" t="s">
        <v>229</v>
      </c>
      <c r="F55" s="12" t="s">
        <v>99</v>
      </c>
      <c r="G55" s="10" t="s">
        <v>232</v>
      </c>
      <c r="H55" s="9" t="s">
        <v>213</v>
      </c>
      <c r="I55" s="10" t="s">
        <v>16</v>
      </c>
      <c r="J55" s="9">
        <v>1</v>
      </c>
      <c r="K55" s="9"/>
    </row>
    <row r="56" spans="1:11">
      <c r="A56" s="2"/>
      <c r="B56" s="7">
        <f>ROW(B56)-ROW($B$2)</f>
        <v>54</v>
      </c>
      <c r="C56" s="11" t="s">
        <v>233</v>
      </c>
      <c r="D56" s="12" t="s">
        <v>234</v>
      </c>
      <c r="E56" s="13" t="s">
        <v>235</v>
      </c>
      <c r="F56" s="12" t="s">
        <v>236</v>
      </c>
      <c r="G56" s="13" t="s">
        <v>237</v>
      </c>
      <c r="H56" s="12" t="s">
        <v>28</v>
      </c>
      <c r="I56" s="13" t="s">
        <v>238</v>
      </c>
      <c r="J56" s="12">
        <v>1</v>
      </c>
      <c r="K56" s="12"/>
    </row>
    <row r="57" spans="1:11">
      <c r="A57" s="2"/>
      <c r="B57" s="7">
        <f>ROW(B57)-ROW($B$2)</f>
        <v>55</v>
      </c>
      <c r="C57" s="8" t="s">
        <v>239</v>
      </c>
      <c r="D57" s="9" t="s">
        <v>240</v>
      </c>
      <c r="E57" s="10" t="s">
        <v>241</v>
      </c>
      <c r="F57" s="9" t="s">
        <v>202</v>
      </c>
      <c r="G57" s="10" t="s">
        <v>242</v>
      </c>
      <c r="H57" s="9" t="s">
        <v>150</v>
      </c>
      <c r="I57" s="10" t="s">
        <v>243</v>
      </c>
      <c r="J57" s="9">
        <v>1</v>
      </c>
      <c r="K57" s="9"/>
    </row>
    <row r="58" ht="15.75" spans="1:11">
      <c r="A58" s="2"/>
      <c r="B58" s="7">
        <f>ROW(B58)-ROW($B$2)</f>
        <v>56</v>
      </c>
      <c r="C58" s="11" t="s">
        <v>239</v>
      </c>
      <c r="D58" s="12" t="s">
        <v>244</v>
      </c>
      <c r="E58" s="13" t="s">
        <v>245</v>
      </c>
      <c r="F58" s="12" t="s">
        <v>246</v>
      </c>
      <c r="G58" s="13" t="s">
        <v>247</v>
      </c>
      <c r="H58" s="12" t="s">
        <v>28</v>
      </c>
      <c r="I58" s="13" t="s">
        <v>248</v>
      </c>
      <c r="J58" s="12">
        <v>2</v>
      </c>
      <c r="K58" s="12"/>
    </row>
    <row r="59" ht="15.75" spans="1:11">
      <c r="A59" s="2"/>
      <c r="B59" s="7">
        <f>ROW(B59)-ROW($B$2)</f>
        <v>57</v>
      </c>
      <c r="C59" s="8" t="s">
        <v>233</v>
      </c>
      <c r="D59" s="14" t="s">
        <v>249</v>
      </c>
      <c r="E59" s="15" t="s">
        <v>250</v>
      </c>
      <c r="F59" s="14" t="s">
        <v>246</v>
      </c>
      <c r="G59" s="15" t="s">
        <v>251</v>
      </c>
      <c r="H59" s="14" t="s">
        <v>28</v>
      </c>
      <c r="I59" s="15" t="s">
        <v>65</v>
      </c>
      <c r="J59" s="14">
        <v>1</v>
      </c>
      <c r="K59" s="17" t="s">
        <v>66</v>
      </c>
    </row>
    <row r="60" ht="24.75" spans="1:11">
      <c r="A60" s="2"/>
      <c r="B60" s="7">
        <f>ROW(B60)-ROW($B$2)</f>
        <v>58</v>
      </c>
      <c r="C60" s="11" t="s">
        <v>233</v>
      </c>
      <c r="D60" s="12" t="s">
        <v>252</v>
      </c>
      <c r="E60" s="13" t="s">
        <v>253</v>
      </c>
      <c r="F60" s="12" t="s">
        <v>99</v>
      </c>
      <c r="G60" s="13" t="s">
        <v>254</v>
      </c>
      <c r="H60" s="12" t="s">
        <v>255</v>
      </c>
      <c r="I60" s="13" t="s">
        <v>256</v>
      </c>
      <c r="J60" s="12">
        <v>1</v>
      </c>
      <c r="K60" s="12"/>
    </row>
    <row r="61" ht="24.75" spans="1:11">
      <c r="A61" s="2"/>
      <c r="B61" s="7">
        <f>ROW(B61)-ROW($B$2)</f>
        <v>59</v>
      </c>
      <c r="C61" s="8" t="s">
        <v>233</v>
      </c>
      <c r="D61" s="9" t="s">
        <v>257</v>
      </c>
      <c r="E61" s="10" t="s">
        <v>258</v>
      </c>
      <c r="F61" s="12" t="s">
        <v>99</v>
      </c>
      <c r="G61" s="10" t="s">
        <v>259</v>
      </c>
      <c r="H61" s="9" t="s">
        <v>260</v>
      </c>
      <c r="I61" s="10" t="s">
        <v>261</v>
      </c>
      <c r="J61" s="9">
        <v>1</v>
      </c>
      <c r="K61" s="9"/>
    </row>
    <row r="62" ht="24.75" spans="1:11">
      <c r="A62" s="2"/>
      <c r="B62" s="7">
        <f>ROW(B62)-ROW($B$2)</f>
        <v>60</v>
      </c>
      <c r="C62" s="11" t="s">
        <v>262</v>
      </c>
      <c r="D62" s="12" t="s">
        <v>263</v>
      </c>
      <c r="E62" s="13" t="s">
        <v>264</v>
      </c>
      <c r="F62" s="12" t="s">
        <v>265</v>
      </c>
      <c r="G62" s="13" t="s">
        <v>266</v>
      </c>
      <c r="H62" s="12" t="s">
        <v>267</v>
      </c>
      <c r="I62" s="13" t="s">
        <v>16</v>
      </c>
      <c r="J62" s="12">
        <v>5</v>
      </c>
      <c r="K62" s="12"/>
    </row>
    <row r="63" ht="24.75" spans="1:11">
      <c r="A63" s="2"/>
      <c r="B63" s="7">
        <f>ROW(B63)-ROW($B$2)</f>
        <v>61</v>
      </c>
      <c r="C63" s="8" t="s">
        <v>262</v>
      </c>
      <c r="D63" s="9" t="s">
        <v>268</v>
      </c>
      <c r="E63" s="10" t="s">
        <v>269</v>
      </c>
      <c r="F63" s="9" t="s">
        <v>265</v>
      </c>
      <c r="G63" s="10" t="s">
        <v>270</v>
      </c>
      <c r="H63" s="9" t="s">
        <v>267</v>
      </c>
      <c r="I63" s="13" t="s">
        <v>16</v>
      </c>
      <c r="J63" s="9">
        <v>2</v>
      </c>
      <c r="K63" s="9"/>
    </row>
    <row r="64" spans="1:11">
      <c r="A64" s="2"/>
      <c r="B64" s="7">
        <f>ROW(B64)-ROW($B$2)</f>
        <v>62</v>
      </c>
      <c r="C64" s="11" t="s">
        <v>271</v>
      </c>
      <c r="D64" s="12" t="s">
        <v>272</v>
      </c>
      <c r="E64" s="13" t="s">
        <v>273</v>
      </c>
      <c r="F64" s="12" t="s">
        <v>274</v>
      </c>
      <c r="G64" s="13" t="s">
        <v>275</v>
      </c>
      <c r="H64" s="12" t="s">
        <v>276</v>
      </c>
      <c r="I64" s="13" t="s">
        <v>16</v>
      </c>
      <c r="J64" s="12">
        <v>1</v>
      </c>
      <c r="K64" s="12"/>
    </row>
    <row r="65" ht="24.75" spans="1:11">
      <c r="A65" s="2"/>
      <c r="B65" s="7">
        <f>ROW(B65)-ROW($B$2)</f>
        <v>63</v>
      </c>
      <c r="C65" s="8" t="s">
        <v>277</v>
      </c>
      <c r="D65" s="9" t="s">
        <v>278</v>
      </c>
      <c r="E65" s="10" t="s">
        <v>279</v>
      </c>
      <c r="F65" s="9" t="s">
        <v>164</v>
      </c>
      <c r="G65" s="10" t="s">
        <v>280</v>
      </c>
      <c r="H65" s="9" t="s">
        <v>281</v>
      </c>
      <c r="I65" s="13" t="s">
        <v>16</v>
      </c>
      <c r="J65" s="9">
        <v>1</v>
      </c>
      <c r="K65" s="9"/>
    </row>
    <row r="66" spans="1:11">
      <c r="A66" s="2"/>
      <c r="B66" s="7">
        <f>ROW(B66)-ROW($B$2)</f>
        <v>64</v>
      </c>
      <c r="C66" s="11" t="s">
        <v>282</v>
      </c>
      <c r="D66" s="12" t="s">
        <v>283</v>
      </c>
      <c r="E66" s="13" t="s">
        <v>284</v>
      </c>
      <c r="F66" s="12" t="s">
        <v>285</v>
      </c>
      <c r="G66" s="13" t="s">
        <v>286</v>
      </c>
      <c r="H66" s="12" t="s">
        <v>177</v>
      </c>
      <c r="I66" s="13" t="s">
        <v>16</v>
      </c>
      <c r="J66" s="12">
        <v>2</v>
      </c>
      <c r="K66" s="12"/>
    </row>
    <row r="67" spans="1:11">
      <c r="A67" s="2"/>
      <c r="B67" s="7">
        <f>ROW(B67)-ROW($B$2)</f>
        <v>65</v>
      </c>
      <c r="C67" s="8" t="s">
        <v>287</v>
      </c>
      <c r="D67" s="9" t="s">
        <v>288</v>
      </c>
      <c r="E67" s="10" t="s">
        <v>289</v>
      </c>
      <c r="F67" s="9" t="s">
        <v>290</v>
      </c>
      <c r="G67" s="10" t="s">
        <v>291</v>
      </c>
      <c r="H67" s="9" t="s">
        <v>177</v>
      </c>
      <c r="I67" s="13" t="s">
        <v>16</v>
      </c>
      <c r="J67" s="9">
        <v>1</v>
      </c>
      <c r="K67" s="9"/>
    </row>
    <row r="68" spans="1:11">
      <c r="A68" s="2"/>
      <c r="B68" s="7">
        <f>ROW(B68)-ROW($B$2)</f>
        <v>66</v>
      </c>
      <c r="C68" s="11" t="s">
        <v>292</v>
      </c>
      <c r="D68" s="12" t="s">
        <v>293</v>
      </c>
      <c r="E68" s="13" t="s">
        <v>294</v>
      </c>
      <c r="F68" s="12" t="s">
        <v>295</v>
      </c>
      <c r="G68" s="13" t="s">
        <v>296</v>
      </c>
      <c r="H68" s="12" t="s">
        <v>35</v>
      </c>
      <c r="I68" s="13" t="s">
        <v>297</v>
      </c>
      <c r="J68" s="12">
        <v>10</v>
      </c>
      <c r="K68" s="12"/>
    </row>
    <row r="69" ht="15.75" spans="1:11">
      <c r="A69" s="2"/>
      <c r="B69" s="7">
        <f>ROW(B69)-ROW($B$2)</f>
        <v>67</v>
      </c>
      <c r="C69" s="8" t="s">
        <v>292</v>
      </c>
      <c r="D69" s="9" t="s">
        <v>298</v>
      </c>
      <c r="E69" s="10" t="s">
        <v>299</v>
      </c>
      <c r="F69" s="9" t="s">
        <v>295</v>
      </c>
      <c r="G69" s="10" t="s">
        <v>300</v>
      </c>
      <c r="H69" s="9" t="s">
        <v>35</v>
      </c>
      <c r="I69" s="10" t="s">
        <v>301</v>
      </c>
      <c r="J69" s="9">
        <v>6</v>
      </c>
      <c r="K69" s="9"/>
    </row>
    <row r="70" ht="15.75" spans="1:11">
      <c r="A70" s="2"/>
      <c r="B70" s="7">
        <f>ROW(B70)-ROW($B$2)</f>
        <v>68</v>
      </c>
      <c r="C70" s="11" t="s">
        <v>302</v>
      </c>
      <c r="D70" s="12" t="s">
        <v>303</v>
      </c>
      <c r="E70" s="13" t="s">
        <v>304</v>
      </c>
      <c r="F70" s="12" t="s">
        <v>305</v>
      </c>
      <c r="G70" s="13" t="s">
        <v>306</v>
      </c>
      <c r="H70" s="12" t="s">
        <v>35</v>
      </c>
      <c r="I70" s="13" t="s">
        <v>307</v>
      </c>
      <c r="J70" s="12">
        <v>6</v>
      </c>
      <c r="K70" s="12"/>
    </row>
    <row r="71" ht="15.75" spans="1:11">
      <c r="A71" s="2"/>
      <c r="B71" s="7">
        <f>ROW(B71)-ROW($B$2)</f>
        <v>69</v>
      </c>
      <c r="C71" s="8" t="s">
        <v>292</v>
      </c>
      <c r="D71" s="9" t="s">
        <v>308</v>
      </c>
      <c r="E71" s="10" t="s">
        <v>309</v>
      </c>
      <c r="F71" s="9" t="s">
        <v>310</v>
      </c>
      <c r="G71" s="10" t="s">
        <v>311</v>
      </c>
      <c r="H71" s="9" t="s">
        <v>35</v>
      </c>
      <c r="I71" s="10" t="s">
        <v>312</v>
      </c>
      <c r="J71" s="9">
        <v>7</v>
      </c>
      <c r="K71" s="9"/>
    </row>
    <row r="72" ht="15.75" spans="1:11">
      <c r="A72" s="2"/>
      <c r="B72" s="7">
        <f>ROW(B72)-ROW($B$2)</f>
        <v>70</v>
      </c>
      <c r="C72" s="11" t="s">
        <v>292</v>
      </c>
      <c r="D72" s="12" t="s">
        <v>313</v>
      </c>
      <c r="E72" s="13" t="s">
        <v>314</v>
      </c>
      <c r="F72" s="12" t="s">
        <v>295</v>
      </c>
      <c r="G72" s="13" t="s">
        <v>315</v>
      </c>
      <c r="H72" s="12" t="s">
        <v>35</v>
      </c>
      <c r="I72" s="13" t="s">
        <v>316</v>
      </c>
      <c r="J72" s="12">
        <v>1</v>
      </c>
      <c r="K72" s="12"/>
    </row>
    <row r="73" ht="15.75" spans="1:11">
      <c r="A73" s="2"/>
      <c r="B73" s="7">
        <f>ROW(B73)-ROW($B$2)</f>
        <v>71</v>
      </c>
      <c r="C73" s="8" t="s">
        <v>292</v>
      </c>
      <c r="D73" s="9" t="s">
        <v>317</v>
      </c>
      <c r="E73" s="10" t="s">
        <v>318</v>
      </c>
      <c r="F73" s="9" t="s">
        <v>295</v>
      </c>
      <c r="G73" s="10" t="s">
        <v>319</v>
      </c>
      <c r="H73" s="9" t="s">
        <v>35</v>
      </c>
      <c r="I73" s="10" t="s">
        <v>320</v>
      </c>
      <c r="J73" s="9">
        <v>4</v>
      </c>
      <c r="K73" s="9"/>
    </row>
    <row r="74" ht="24.75" spans="1:11">
      <c r="A74" s="2"/>
      <c r="B74" s="7">
        <f>ROW(B74)-ROW($B$2)</f>
        <v>72</v>
      </c>
      <c r="C74" s="11" t="s">
        <v>302</v>
      </c>
      <c r="D74" s="12" t="s">
        <v>321</v>
      </c>
      <c r="E74" s="13" t="s">
        <v>322</v>
      </c>
      <c r="F74" s="12" t="s">
        <v>305</v>
      </c>
      <c r="G74" s="13" t="s">
        <v>323</v>
      </c>
      <c r="H74" s="12" t="s">
        <v>324</v>
      </c>
      <c r="I74" s="13" t="s">
        <v>325</v>
      </c>
      <c r="J74" s="12">
        <v>12</v>
      </c>
      <c r="K74" s="12"/>
    </row>
    <row r="75" ht="15.75" spans="1:11">
      <c r="A75" s="2"/>
      <c r="B75" s="7">
        <f>ROW(B75)-ROW($B$2)</f>
        <v>73</v>
      </c>
      <c r="C75" s="8" t="s">
        <v>292</v>
      </c>
      <c r="D75" s="9" t="s">
        <v>326</v>
      </c>
      <c r="E75" s="10" t="s">
        <v>327</v>
      </c>
      <c r="F75" s="9" t="s">
        <v>305</v>
      </c>
      <c r="G75" s="10" t="s">
        <v>328</v>
      </c>
      <c r="H75" s="9" t="s">
        <v>35</v>
      </c>
      <c r="I75" s="10" t="s">
        <v>301</v>
      </c>
      <c r="J75" s="9">
        <v>7</v>
      </c>
      <c r="K75" s="9"/>
    </row>
    <row r="76" ht="36.75" spans="1:11">
      <c r="A76" s="2"/>
      <c r="B76" s="7">
        <f>ROW(B76)-ROW($B$2)</f>
        <v>74</v>
      </c>
      <c r="C76" s="11" t="s">
        <v>302</v>
      </c>
      <c r="D76" s="12" t="s">
        <v>329</v>
      </c>
      <c r="E76" s="13" t="s">
        <v>330</v>
      </c>
      <c r="F76" s="12" t="s">
        <v>310</v>
      </c>
      <c r="G76" s="13" t="s">
        <v>331</v>
      </c>
      <c r="H76" s="12" t="s">
        <v>35</v>
      </c>
      <c r="I76" s="13" t="s">
        <v>297</v>
      </c>
      <c r="J76" s="12">
        <v>25</v>
      </c>
      <c r="K76" s="12"/>
    </row>
    <row r="77" ht="24.75" spans="1:11">
      <c r="A77" s="2"/>
      <c r="B77" s="7">
        <f>ROW(B77)-ROW($B$2)</f>
        <v>75</v>
      </c>
      <c r="C77" s="8" t="s">
        <v>292</v>
      </c>
      <c r="D77" s="9" t="s">
        <v>332</v>
      </c>
      <c r="E77" s="10" t="s">
        <v>333</v>
      </c>
      <c r="F77" s="9" t="s">
        <v>310</v>
      </c>
      <c r="G77" s="10" t="s">
        <v>334</v>
      </c>
      <c r="H77" s="9" t="s">
        <v>35</v>
      </c>
      <c r="I77" s="10" t="s">
        <v>316</v>
      </c>
      <c r="J77" s="9">
        <v>13</v>
      </c>
      <c r="K77" s="9"/>
    </row>
    <row r="78" ht="15.75" spans="1:11">
      <c r="A78" s="2"/>
      <c r="B78" s="7">
        <f>ROW(B78)-ROW($B$2)</f>
        <v>76</v>
      </c>
      <c r="C78" s="11" t="s">
        <v>292</v>
      </c>
      <c r="D78" s="12" t="s">
        <v>335</v>
      </c>
      <c r="E78" s="13" t="s">
        <v>336</v>
      </c>
      <c r="F78" s="12" t="s">
        <v>310</v>
      </c>
      <c r="G78" s="13" t="s">
        <v>337</v>
      </c>
      <c r="H78" s="12" t="s">
        <v>35</v>
      </c>
      <c r="I78" s="13" t="s">
        <v>338</v>
      </c>
      <c r="J78" s="12">
        <v>1</v>
      </c>
      <c r="K78" s="12"/>
    </row>
    <row r="79" ht="15.75" spans="1:11">
      <c r="A79" s="2"/>
      <c r="B79" s="7">
        <f>ROW(B79)-ROW($B$2)</f>
        <v>77</v>
      </c>
      <c r="C79" s="8" t="s">
        <v>292</v>
      </c>
      <c r="D79" s="9" t="s">
        <v>339</v>
      </c>
      <c r="E79" s="10" t="s">
        <v>340</v>
      </c>
      <c r="F79" s="9" t="s">
        <v>310</v>
      </c>
      <c r="G79" s="10" t="s">
        <v>341</v>
      </c>
      <c r="H79" s="9" t="s">
        <v>35</v>
      </c>
      <c r="I79" s="10" t="s">
        <v>301</v>
      </c>
      <c r="J79" s="9">
        <v>2</v>
      </c>
      <c r="K79" s="9"/>
    </row>
    <row r="80" ht="15.75" spans="1:11">
      <c r="A80" s="2"/>
      <c r="B80" s="7">
        <f>ROW(B80)-ROW($B$2)</f>
        <v>78</v>
      </c>
      <c r="C80" s="11" t="s">
        <v>292</v>
      </c>
      <c r="D80" s="14" t="s">
        <v>342</v>
      </c>
      <c r="E80" s="15" t="s">
        <v>343</v>
      </c>
      <c r="F80" s="14" t="s">
        <v>310</v>
      </c>
      <c r="G80" s="15" t="s">
        <v>344</v>
      </c>
      <c r="H80" s="14" t="s">
        <v>35</v>
      </c>
      <c r="I80" s="15" t="s">
        <v>65</v>
      </c>
      <c r="J80" s="14">
        <v>1</v>
      </c>
      <c r="K80" s="17" t="s">
        <v>66</v>
      </c>
    </row>
    <row r="81" ht="15.75" spans="1:11">
      <c r="A81" s="2"/>
      <c r="B81" s="7">
        <f>ROW(B81)-ROW($B$2)</f>
        <v>79</v>
      </c>
      <c r="C81" s="8" t="s">
        <v>292</v>
      </c>
      <c r="D81" s="9" t="s">
        <v>345</v>
      </c>
      <c r="E81" s="10" t="s">
        <v>346</v>
      </c>
      <c r="F81" s="9" t="s">
        <v>310</v>
      </c>
      <c r="G81" s="10" t="s">
        <v>347</v>
      </c>
      <c r="H81" s="9" t="s">
        <v>35</v>
      </c>
      <c r="I81" s="10" t="s">
        <v>348</v>
      </c>
      <c r="J81" s="9">
        <v>2</v>
      </c>
      <c r="K81" s="9"/>
    </row>
    <row r="82" ht="15.75" spans="1:11">
      <c r="A82" s="2"/>
      <c r="B82" s="7">
        <f>ROW(B82)-ROW($B$2)</f>
        <v>80</v>
      </c>
      <c r="C82" s="11" t="s">
        <v>292</v>
      </c>
      <c r="D82" s="12" t="s">
        <v>349</v>
      </c>
      <c r="E82" s="13" t="s">
        <v>350</v>
      </c>
      <c r="F82" s="12" t="s">
        <v>310</v>
      </c>
      <c r="G82" s="13" t="s">
        <v>351</v>
      </c>
      <c r="H82" s="12" t="s">
        <v>35</v>
      </c>
      <c r="I82" s="13" t="s">
        <v>320</v>
      </c>
      <c r="J82" s="12">
        <v>1</v>
      </c>
      <c r="K82" s="12"/>
    </row>
    <row r="83" ht="15.75" spans="1:11">
      <c r="A83" s="2"/>
      <c r="B83" s="7">
        <f>ROW(B83)-ROW($B$2)</f>
        <v>81</v>
      </c>
      <c r="C83" s="8" t="s">
        <v>292</v>
      </c>
      <c r="D83" s="9" t="s">
        <v>352</v>
      </c>
      <c r="E83" s="10" t="s">
        <v>353</v>
      </c>
      <c r="F83" s="9" t="s">
        <v>354</v>
      </c>
      <c r="G83" s="10" t="s">
        <v>355</v>
      </c>
      <c r="H83" s="9" t="s">
        <v>35</v>
      </c>
      <c r="I83" s="10" t="s">
        <v>297</v>
      </c>
      <c r="J83" s="9">
        <v>4</v>
      </c>
      <c r="K83" s="9"/>
    </row>
    <row r="84" ht="24.75" spans="1:11">
      <c r="A84" s="2"/>
      <c r="B84" s="7">
        <f>ROW(B84)-ROW($B$2)</f>
        <v>82</v>
      </c>
      <c r="C84" s="11" t="s">
        <v>292</v>
      </c>
      <c r="D84" s="12" t="s">
        <v>356</v>
      </c>
      <c r="E84" s="13" t="s">
        <v>357</v>
      </c>
      <c r="F84" s="12" t="s">
        <v>305</v>
      </c>
      <c r="G84" s="13" t="s">
        <v>358</v>
      </c>
      <c r="H84" s="12" t="s">
        <v>359</v>
      </c>
      <c r="I84" s="13" t="s">
        <v>325</v>
      </c>
      <c r="J84" s="12">
        <v>1</v>
      </c>
      <c r="K84" s="12"/>
    </row>
    <row r="85" ht="15.75" spans="1:11">
      <c r="A85" s="2"/>
      <c r="B85" s="7">
        <f>ROW(B85)-ROW($B$2)</f>
        <v>83</v>
      </c>
      <c r="C85" s="8" t="s">
        <v>302</v>
      </c>
      <c r="D85" s="9" t="s">
        <v>360</v>
      </c>
      <c r="E85" s="10" t="s">
        <v>361</v>
      </c>
      <c r="F85" s="9" t="s">
        <v>305</v>
      </c>
      <c r="G85" s="10" t="s">
        <v>362</v>
      </c>
      <c r="H85" s="9" t="s">
        <v>35</v>
      </c>
      <c r="I85" s="10" t="s">
        <v>363</v>
      </c>
      <c r="J85" s="9">
        <v>1</v>
      </c>
      <c r="K85" s="9"/>
    </row>
    <row r="86" ht="15.75" spans="1:11">
      <c r="A86" s="2"/>
      <c r="B86" s="7">
        <f>ROW(B86)-ROW($B$2)</f>
        <v>84</v>
      </c>
      <c r="C86" s="11" t="s">
        <v>292</v>
      </c>
      <c r="D86" s="12" t="s">
        <v>364</v>
      </c>
      <c r="E86" s="13" t="s">
        <v>365</v>
      </c>
      <c r="F86" s="12" t="s">
        <v>295</v>
      </c>
      <c r="G86" s="13" t="s">
        <v>366</v>
      </c>
      <c r="H86" s="12" t="s">
        <v>35</v>
      </c>
      <c r="I86" s="13" t="s">
        <v>367</v>
      </c>
      <c r="J86" s="12">
        <v>1</v>
      </c>
      <c r="K86" s="12"/>
    </row>
    <row r="87" ht="15.75" spans="1:11">
      <c r="A87" s="2"/>
      <c r="B87" s="7">
        <f>ROW(B87)-ROW($B$2)</f>
        <v>85</v>
      </c>
      <c r="C87" s="8" t="s">
        <v>292</v>
      </c>
      <c r="D87" s="9" t="s">
        <v>368</v>
      </c>
      <c r="E87" s="10" t="s">
        <v>369</v>
      </c>
      <c r="F87" s="9" t="s">
        <v>295</v>
      </c>
      <c r="G87" s="10" t="s">
        <v>370</v>
      </c>
      <c r="H87" s="9" t="s">
        <v>35</v>
      </c>
      <c r="I87" s="10" t="s">
        <v>312</v>
      </c>
      <c r="J87" s="9">
        <v>2</v>
      </c>
      <c r="K87" s="9"/>
    </row>
    <row r="88" ht="15.75" spans="1:11">
      <c r="A88" s="2"/>
      <c r="B88" s="7">
        <f>ROW(B88)-ROW($B$2)</f>
        <v>86</v>
      </c>
      <c r="C88" s="11" t="s">
        <v>302</v>
      </c>
      <c r="D88" s="12" t="s">
        <v>371</v>
      </c>
      <c r="E88" s="13" t="s">
        <v>372</v>
      </c>
      <c r="F88" s="12" t="s">
        <v>373</v>
      </c>
      <c r="G88" s="13" t="s">
        <v>374</v>
      </c>
      <c r="H88" s="12" t="s">
        <v>35</v>
      </c>
      <c r="I88" s="13" t="s">
        <v>375</v>
      </c>
      <c r="J88" s="12">
        <v>3</v>
      </c>
      <c r="K88" s="12"/>
    </row>
    <row r="89" ht="15.75" spans="1:11">
      <c r="A89" s="2"/>
      <c r="B89" s="7">
        <f>ROW(B89)-ROW($B$2)</f>
        <v>87</v>
      </c>
      <c r="C89" s="8" t="s">
        <v>292</v>
      </c>
      <c r="D89" s="9" t="s">
        <v>376</v>
      </c>
      <c r="E89" s="10" t="s">
        <v>377</v>
      </c>
      <c r="F89" s="9" t="s">
        <v>305</v>
      </c>
      <c r="G89" s="10" t="s">
        <v>378</v>
      </c>
      <c r="H89" s="9" t="s">
        <v>35</v>
      </c>
      <c r="I89" s="10" t="s">
        <v>297</v>
      </c>
      <c r="J89" s="9">
        <v>2</v>
      </c>
      <c r="K89" s="9"/>
    </row>
    <row r="90" ht="36.75" spans="1:11">
      <c r="A90" s="2"/>
      <c r="B90" s="7">
        <f>ROW(B90)-ROW($B$2)</f>
        <v>88</v>
      </c>
      <c r="C90" s="11" t="s">
        <v>292</v>
      </c>
      <c r="D90" s="12" t="s">
        <v>379</v>
      </c>
      <c r="E90" s="13" t="s">
        <v>380</v>
      </c>
      <c r="F90" s="12" t="s">
        <v>305</v>
      </c>
      <c r="G90" s="13" t="s">
        <v>381</v>
      </c>
      <c r="H90" s="12" t="s">
        <v>382</v>
      </c>
      <c r="I90" s="13" t="s">
        <v>316</v>
      </c>
      <c r="J90" s="12">
        <v>6</v>
      </c>
      <c r="K90" s="12"/>
    </row>
    <row r="91" ht="15.75" spans="1:11">
      <c r="A91" s="2"/>
      <c r="B91" s="7">
        <f>ROW(B91)-ROW($B$2)</f>
        <v>89</v>
      </c>
      <c r="C91" s="8" t="s">
        <v>292</v>
      </c>
      <c r="D91" s="14" t="s">
        <v>383</v>
      </c>
      <c r="E91" s="15" t="s">
        <v>353</v>
      </c>
      <c r="F91" s="14" t="s">
        <v>354</v>
      </c>
      <c r="G91" s="15" t="s">
        <v>355</v>
      </c>
      <c r="H91" s="14" t="s">
        <v>35</v>
      </c>
      <c r="I91" s="15" t="s">
        <v>65</v>
      </c>
      <c r="J91" s="14">
        <v>3</v>
      </c>
      <c r="K91" s="17" t="s">
        <v>66</v>
      </c>
    </row>
    <row r="92" ht="36.75" spans="1:11">
      <c r="A92" s="2"/>
      <c r="B92" s="7">
        <f>ROW(B92)-ROW($B$2)</f>
        <v>90</v>
      </c>
      <c r="C92" s="11" t="s">
        <v>292</v>
      </c>
      <c r="D92" s="12" t="s">
        <v>384</v>
      </c>
      <c r="E92" s="13" t="s">
        <v>385</v>
      </c>
      <c r="F92" s="12" t="s">
        <v>373</v>
      </c>
      <c r="G92" s="13" t="s">
        <v>386</v>
      </c>
      <c r="H92" s="12" t="s">
        <v>387</v>
      </c>
      <c r="I92" s="13" t="s">
        <v>388</v>
      </c>
      <c r="J92" s="12">
        <v>1</v>
      </c>
      <c r="K92" s="12"/>
    </row>
    <row r="93" ht="15.75" spans="1:11">
      <c r="A93" s="2"/>
      <c r="B93" s="7">
        <f>ROW(B93)-ROW($B$2)</f>
        <v>91</v>
      </c>
      <c r="C93" s="8" t="s">
        <v>302</v>
      </c>
      <c r="D93" s="9" t="s">
        <v>389</v>
      </c>
      <c r="E93" s="10" t="s">
        <v>390</v>
      </c>
      <c r="F93" s="9" t="s">
        <v>373</v>
      </c>
      <c r="G93" s="10" t="s">
        <v>391</v>
      </c>
      <c r="H93" s="9" t="s">
        <v>392</v>
      </c>
      <c r="I93" s="10" t="s">
        <v>393</v>
      </c>
      <c r="J93" s="9">
        <v>1</v>
      </c>
      <c r="K93" s="9"/>
    </row>
    <row r="94" ht="15.75" spans="1:11">
      <c r="A94" s="2"/>
      <c r="B94" s="7">
        <f>ROW(B94)-ROW($B$2)</f>
        <v>92</v>
      </c>
      <c r="C94" s="11" t="s">
        <v>292</v>
      </c>
      <c r="D94" s="12" t="s">
        <v>394</v>
      </c>
      <c r="E94" s="13" t="s">
        <v>395</v>
      </c>
      <c r="F94" s="12" t="s">
        <v>295</v>
      </c>
      <c r="G94" s="13" t="s">
        <v>396</v>
      </c>
      <c r="H94" s="12" t="s">
        <v>35</v>
      </c>
      <c r="I94" s="13" t="s">
        <v>338</v>
      </c>
      <c r="J94" s="12">
        <v>2</v>
      </c>
      <c r="K94" s="12"/>
    </row>
    <row r="95" ht="36.75" spans="1:11">
      <c r="A95" s="2"/>
      <c r="B95" s="7">
        <f>ROW(B95)-ROW($B$2)</f>
        <v>93</v>
      </c>
      <c r="C95" s="8" t="s">
        <v>292</v>
      </c>
      <c r="D95" s="9" t="s">
        <v>397</v>
      </c>
      <c r="E95" s="10" t="s">
        <v>398</v>
      </c>
      <c r="F95" s="9" t="s">
        <v>399</v>
      </c>
      <c r="G95" s="10" t="s">
        <v>400</v>
      </c>
      <c r="H95" s="9" t="s">
        <v>401</v>
      </c>
      <c r="I95" s="10" t="s">
        <v>402</v>
      </c>
      <c r="J95" s="9">
        <v>1</v>
      </c>
      <c r="K95" s="9"/>
    </row>
    <row r="96" ht="15.75" spans="1:11">
      <c r="A96" s="2"/>
      <c r="B96" s="7">
        <f>ROW(B96)-ROW($B$2)</f>
        <v>94</v>
      </c>
      <c r="C96" s="11" t="s">
        <v>292</v>
      </c>
      <c r="D96" s="12" t="s">
        <v>403</v>
      </c>
      <c r="E96" s="13" t="s">
        <v>404</v>
      </c>
      <c r="F96" s="12" t="s">
        <v>295</v>
      </c>
      <c r="G96" s="13" t="s">
        <v>405</v>
      </c>
      <c r="H96" s="12" t="s">
        <v>406</v>
      </c>
      <c r="I96" s="13" t="s">
        <v>316</v>
      </c>
      <c r="J96" s="12">
        <v>1</v>
      </c>
      <c r="K96" s="12"/>
    </row>
    <row r="97" ht="15.75" spans="1:11">
      <c r="A97" s="2"/>
      <c r="B97" s="7">
        <f>ROW(B97)-ROW($B$2)</f>
        <v>95</v>
      </c>
      <c r="C97" s="8" t="s">
        <v>302</v>
      </c>
      <c r="D97" s="9" t="s">
        <v>407</v>
      </c>
      <c r="E97" s="10" t="s">
        <v>408</v>
      </c>
      <c r="F97" s="9" t="s">
        <v>373</v>
      </c>
      <c r="G97" s="10" t="s">
        <v>409</v>
      </c>
      <c r="H97" s="9" t="s">
        <v>392</v>
      </c>
      <c r="I97" s="10" t="s">
        <v>410</v>
      </c>
      <c r="J97" s="9">
        <v>4</v>
      </c>
      <c r="K97" s="9"/>
    </row>
    <row r="98" ht="15.75" spans="1:11">
      <c r="A98" s="2"/>
      <c r="B98" s="7">
        <f>ROW(B98)-ROW($B$2)</f>
        <v>96</v>
      </c>
      <c r="C98" s="11" t="s">
        <v>292</v>
      </c>
      <c r="D98" s="12" t="s">
        <v>411</v>
      </c>
      <c r="E98" s="13" t="s">
        <v>412</v>
      </c>
      <c r="F98" s="12" t="s">
        <v>295</v>
      </c>
      <c r="G98" s="13" t="s">
        <v>413</v>
      </c>
      <c r="H98" s="12" t="s">
        <v>35</v>
      </c>
      <c r="I98" s="13" t="s">
        <v>297</v>
      </c>
      <c r="J98" s="12">
        <v>4</v>
      </c>
      <c r="K98" s="12"/>
    </row>
    <row r="99" ht="15.75" spans="1:11">
      <c r="A99" s="2"/>
      <c r="B99" s="7">
        <f>ROW(B99)-ROW($B$2)</f>
        <v>97</v>
      </c>
      <c r="C99" s="8" t="s">
        <v>292</v>
      </c>
      <c r="D99" s="9" t="s">
        <v>414</v>
      </c>
      <c r="E99" s="10" t="s">
        <v>299</v>
      </c>
      <c r="F99" s="9" t="s">
        <v>295</v>
      </c>
      <c r="G99" s="10" t="s">
        <v>415</v>
      </c>
      <c r="H99" s="9" t="s">
        <v>324</v>
      </c>
      <c r="I99" s="10" t="s">
        <v>301</v>
      </c>
      <c r="J99" s="9">
        <v>1</v>
      </c>
      <c r="K99" s="9"/>
    </row>
    <row r="100" ht="15.75" spans="1:11">
      <c r="A100" s="2"/>
      <c r="B100" s="7">
        <f>ROW(B100)-ROW($B$2)</f>
        <v>98</v>
      </c>
      <c r="C100" s="11" t="s">
        <v>302</v>
      </c>
      <c r="D100" s="12" t="s">
        <v>416</v>
      </c>
      <c r="E100" s="13" t="s">
        <v>417</v>
      </c>
      <c r="F100" s="12" t="s">
        <v>373</v>
      </c>
      <c r="G100" s="13" t="s">
        <v>418</v>
      </c>
      <c r="H100" s="12" t="s">
        <v>35</v>
      </c>
      <c r="I100" s="13" t="s">
        <v>419</v>
      </c>
      <c r="J100" s="12">
        <v>2</v>
      </c>
      <c r="K100" s="12"/>
    </row>
    <row r="101" ht="36.75" spans="1:11">
      <c r="A101" s="2"/>
      <c r="B101" s="7">
        <f>ROW(B101)-ROW($B$2)</f>
        <v>99</v>
      </c>
      <c r="C101" s="8" t="s">
        <v>292</v>
      </c>
      <c r="D101" s="9" t="s">
        <v>420</v>
      </c>
      <c r="E101" s="10" t="s">
        <v>421</v>
      </c>
      <c r="F101" s="9" t="s">
        <v>373</v>
      </c>
      <c r="G101" s="10" t="s">
        <v>422</v>
      </c>
      <c r="H101" s="9" t="s">
        <v>382</v>
      </c>
      <c r="I101" s="10" t="s">
        <v>375</v>
      </c>
      <c r="J101" s="9">
        <v>1</v>
      </c>
      <c r="K101" s="9"/>
    </row>
    <row r="102" ht="24.75" spans="1:11">
      <c r="A102" s="2"/>
      <c r="B102" s="7">
        <f>ROW(B102)-ROW($B$2)</f>
        <v>100</v>
      </c>
      <c r="C102" s="11" t="s">
        <v>423</v>
      </c>
      <c r="D102" s="12" t="s">
        <v>424</v>
      </c>
      <c r="E102" s="13" t="s">
        <v>425</v>
      </c>
      <c r="F102" s="12" t="s">
        <v>99</v>
      </c>
      <c r="G102" s="13" t="s">
        <v>426</v>
      </c>
      <c r="H102" s="12" t="s">
        <v>35</v>
      </c>
      <c r="I102" s="13" t="s">
        <v>16</v>
      </c>
      <c r="J102" s="12">
        <v>1</v>
      </c>
      <c r="K102" s="12"/>
    </row>
    <row r="103" ht="15.75" spans="1:11">
      <c r="A103" s="2"/>
      <c r="B103" s="7">
        <f>ROW(B103)-ROW($B$2)</f>
        <v>101</v>
      </c>
      <c r="C103" s="8" t="s">
        <v>427</v>
      </c>
      <c r="D103" s="9" t="s">
        <v>428</v>
      </c>
      <c r="E103" s="10" t="s">
        <v>429</v>
      </c>
      <c r="F103" s="9" t="s">
        <v>430</v>
      </c>
      <c r="G103" s="10" t="s">
        <v>431</v>
      </c>
      <c r="H103" s="9" t="s">
        <v>432</v>
      </c>
      <c r="I103" s="13" t="s">
        <v>16</v>
      </c>
      <c r="J103" s="9">
        <v>1</v>
      </c>
      <c r="K103" s="9"/>
    </row>
    <row r="104" spans="1:11">
      <c r="A104" s="2"/>
      <c r="B104" s="7">
        <f>ROW(B104)-ROW($B$2)</f>
        <v>102</v>
      </c>
      <c r="C104" s="11" t="s">
        <v>427</v>
      </c>
      <c r="D104" s="12" t="s">
        <v>433</v>
      </c>
      <c r="E104" s="13" t="s">
        <v>434</v>
      </c>
      <c r="F104" s="12" t="s">
        <v>435</v>
      </c>
      <c r="G104" s="13" t="s">
        <v>436</v>
      </c>
      <c r="H104" s="12" t="s">
        <v>437</v>
      </c>
      <c r="I104" s="13" t="s">
        <v>16</v>
      </c>
      <c r="J104" s="12">
        <v>1</v>
      </c>
      <c r="K104" s="12"/>
    </row>
    <row r="105" spans="1:11">
      <c r="A105" s="2"/>
      <c r="B105" s="7">
        <f>ROW(B105)-ROW($B$2)</f>
        <v>103</v>
      </c>
      <c r="C105" s="8" t="s">
        <v>427</v>
      </c>
      <c r="D105" s="9" t="s">
        <v>438</v>
      </c>
      <c r="E105" s="10" t="s">
        <v>439</v>
      </c>
      <c r="F105" s="9" t="s">
        <v>440</v>
      </c>
      <c r="G105" s="10" t="s">
        <v>441</v>
      </c>
      <c r="H105" s="9" t="s">
        <v>442</v>
      </c>
      <c r="I105" s="13" t="s">
        <v>16</v>
      </c>
      <c r="J105" s="9">
        <v>1</v>
      </c>
      <c r="K105" s="9"/>
    </row>
    <row r="106" spans="1:11">
      <c r="A106" s="2"/>
      <c r="B106" s="7">
        <f>ROW(B106)-ROW($B$2)</f>
        <v>104</v>
      </c>
      <c r="C106" s="11" t="s">
        <v>427</v>
      </c>
      <c r="D106" s="12" t="s">
        <v>443</v>
      </c>
      <c r="E106" s="13" t="s">
        <v>444</v>
      </c>
      <c r="F106" s="12" t="s">
        <v>445</v>
      </c>
      <c r="G106" s="13" t="s">
        <v>446</v>
      </c>
      <c r="H106" s="12" t="s">
        <v>447</v>
      </c>
      <c r="I106" s="13" t="s">
        <v>16</v>
      </c>
      <c r="J106" s="12">
        <v>1</v>
      </c>
      <c r="K106" s="12"/>
    </row>
    <row r="107" spans="1:11">
      <c r="A107" s="2"/>
      <c r="B107" s="7">
        <f>ROW(B107)-ROW($B$2)</f>
        <v>105</v>
      </c>
      <c r="C107" s="8" t="s">
        <v>427</v>
      </c>
      <c r="D107" s="9" t="s">
        <v>448</v>
      </c>
      <c r="E107" s="10" t="s">
        <v>449</v>
      </c>
      <c r="F107" s="9" t="s">
        <v>450</v>
      </c>
      <c r="G107" s="10" t="s">
        <v>451</v>
      </c>
      <c r="H107" s="9" t="s">
        <v>437</v>
      </c>
      <c r="I107" s="13" t="s">
        <v>16</v>
      </c>
      <c r="J107" s="9">
        <v>1</v>
      </c>
      <c r="K107" s="9"/>
    </row>
    <row r="108" ht="15.75" spans="1:11">
      <c r="A108" s="2"/>
      <c r="B108" s="7">
        <f>ROW(B108)-ROW($B$2)</f>
        <v>106</v>
      </c>
      <c r="C108" s="11" t="s">
        <v>427</v>
      </c>
      <c r="D108" s="12" t="s">
        <v>452</v>
      </c>
      <c r="E108" s="13" t="s">
        <v>453</v>
      </c>
      <c r="F108" s="12" t="s">
        <v>454</v>
      </c>
      <c r="G108" s="13" t="s">
        <v>455</v>
      </c>
      <c r="H108" s="12" t="s">
        <v>437</v>
      </c>
      <c r="I108" s="13" t="s">
        <v>16</v>
      </c>
      <c r="J108" s="12">
        <v>1</v>
      </c>
      <c r="K108" s="12"/>
    </row>
    <row r="109" ht="15.75" spans="1:11">
      <c r="A109" s="2"/>
      <c r="B109" s="7">
        <f>ROW(B109)-ROW($B$2)</f>
        <v>107</v>
      </c>
      <c r="C109" s="8" t="s">
        <v>456</v>
      </c>
      <c r="D109" s="9" t="s">
        <v>457</v>
      </c>
      <c r="E109" s="10" t="s">
        <v>458</v>
      </c>
      <c r="F109" s="12" t="s">
        <v>99</v>
      </c>
      <c r="G109" s="10" t="s">
        <v>459</v>
      </c>
      <c r="H109" s="9" t="s">
        <v>460</v>
      </c>
      <c r="I109" s="13" t="s">
        <v>16</v>
      </c>
      <c r="J109" s="9">
        <v>1</v>
      </c>
      <c r="K109" s="9"/>
    </row>
    <row r="110" ht="36.75" spans="1:11">
      <c r="A110" s="2"/>
      <c r="B110" s="7">
        <f>ROW(B110)-ROW($B$2)</f>
        <v>108</v>
      </c>
      <c r="C110" s="11" t="s">
        <v>461</v>
      </c>
      <c r="D110" s="12" t="s">
        <v>462</v>
      </c>
      <c r="E110" s="13" t="s">
        <v>463</v>
      </c>
      <c r="F110" s="12" t="s">
        <v>464</v>
      </c>
      <c r="G110" s="13" t="s">
        <v>465</v>
      </c>
      <c r="H110" s="12" t="s">
        <v>466</v>
      </c>
      <c r="I110" s="13" t="s">
        <v>16</v>
      </c>
      <c r="J110" s="12">
        <v>1</v>
      </c>
      <c r="K110" s="12"/>
    </row>
    <row r="111" ht="24.75" spans="1:11">
      <c r="A111" s="2"/>
      <c r="B111" s="7">
        <f>ROW(B111)-ROW($B$2)</f>
        <v>109</v>
      </c>
      <c r="C111" s="8" t="s">
        <v>427</v>
      </c>
      <c r="D111" s="9" t="s">
        <v>467</v>
      </c>
      <c r="E111" s="10" t="s">
        <v>468</v>
      </c>
      <c r="F111" s="9" t="s">
        <v>469</v>
      </c>
      <c r="G111" s="10" t="s">
        <v>470</v>
      </c>
      <c r="H111" s="9" t="s">
        <v>471</v>
      </c>
      <c r="I111" s="13" t="s">
        <v>16</v>
      </c>
      <c r="J111" s="9">
        <v>1</v>
      </c>
      <c r="K111" s="9"/>
    </row>
    <row r="112" spans="1:11">
      <c r="A112" s="2"/>
      <c r="B112" s="7">
        <f>ROW(B112)-ROW($B$2)</f>
        <v>110</v>
      </c>
      <c r="C112" s="11" t="s">
        <v>427</v>
      </c>
      <c r="D112" s="12" t="s">
        <v>472</v>
      </c>
      <c r="E112" s="13" t="s">
        <v>473</v>
      </c>
      <c r="F112" s="12" t="s">
        <v>474</v>
      </c>
      <c r="G112" s="13" t="s">
        <v>475</v>
      </c>
      <c r="H112" s="12" t="s">
        <v>476</v>
      </c>
      <c r="I112" s="13" t="s">
        <v>16</v>
      </c>
      <c r="J112" s="12">
        <v>1</v>
      </c>
      <c r="K112" s="12"/>
    </row>
    <row r="113" ht="24.75" spans="1:11">
      <c r="A113" s="2"/>
      <c r="B113" s="7">
        <f>ROW(B113)-ROW($B$2)</f>
        <v>111</v>
      </c>
      <c r="C113" s="8" t="s">
        <v>427</v>
      </c>
      <c r="D113" s="9" t="s">
        <v>477</v>
      </c>
      <c r="E113" s="10" t="s">
        <v>478</v>
      </c>
      <c r="F113" s="9" t="s">
        <v>479</v>
      </c>
      <c r="G113" s="10" t="s">
        <v>480</v>
      </c>
      <c r="H113" s="9" t="s">
        <v>481</v>
      </c>
      <c r="I113" s="13" t="s">
        <v>16</v>
      </c>
      <c r="J113" s="9">
        <v>1</v>
      </c>
      <c r="K113" s="9"/>
    </row>
    <row r="114" spans="1:11">
      <c r="A114" s="2"/>
      <c r="B114" s="7">
        <f>ROW(B114)-ROW($B$2)</f>
        <v>112</v>
      </c>
      <c r="C114" s="11" t="s">
        <v>482</v>
      </c>
      <c r="D114" s="12" t="s">
        <v>483</v>
      </c>
      <c r="E114" s="13" t="s">
        <v>484</v>
      </c>
      <c r="F114" s="12" t="s">
        <v>485</v>
      </c>
      <c r="G114" s="13" t="s">
        <v>486</v>
      </c>
      <c r="H114" s="12" t="s">
        <v>432</v>
      </c>
      <c r="I114" s="13" t="s">
        <v>16</v>
      </c>
      <c r="J114" s="12">
        <v>1</v>
      </c>
      <c r="K114" s="12"/>
    </row>
    <row r="115" spans="1:11">
      <c r="A115" s="2"/>
      <c r="B115" s="7">
        <f>ROW(B115)-ROW($B$2)</f>
        <v>113</v>
      </c>
      <c r="C115" s="8" t="s">
        <v>427</v>
      </c>
      <c r="D115" s="9" t="s">
        <v>487</v>
      </c>
      <c r="E115" s="10" t="s">
        <v>488</v>
      </c>
      <c r="F115" s="9" t="s">
        <v>489</v>
      </c>
      <c r="G115" s="10" t="s">
        <v>490</v>
      </c>
      <c r="H115" s="9" t="s">
        <v>437</v>
      </c>
      <c r="I115" s="13" t="s">
        <v>16</v>
      </c>
      <c r="J115" s="9">
        <v>1</v>
      </c>
      <c r="K115" s="9"/>
    </row>
    <row r="116" spans="1:11">
      <c r="A116" s="2"/>
      <c r="B116" s="7">
        <f>ROW(B116)-ROW($B$2)</f>
        <v>114</v>
      </c>
      <c r="C116" s="11" t="s">
        <v>491</v>
      </c>
      <c r="D116" s="12" t="s">
        <v>492</v>
      </c>
      <c r="E116" s="13" t="s">
        <v>493</v>
      </c>
      <c r="F116" s="12" t="s">
        <v>494</v>
      </c>
      <c r="G116" s="13" t="s">
        <v>495</v>
      </c>
      <c r="H116" s="12" t="s">
        <v>496</v>
      </c>
      <c r="I116" s="13" t="s">
        <v>16</v>
      </c>
      <c r="J116" s="12">
        <v>1</v>
      </c>
      <c r="K116" s="12"/>
    </row>
    <row r="117" ht="24.75" spans="1:11">
      <c r="A117" s="2"/>
      <c r="B117" s="7">
        <f>ROW(B117)-ROW($B$2)</f>
        <v>115</v>
      </c>
      <c r="C117" s="8" t="s">
        <v>427</v>
      </c>
      <c r="D117" s="9" t="s">
        <v>497</v>
      </c>
      <c r="E117" s="10" t="s">
        <v>498</v>
      </c>
      <c r="F117" s="9" t="s">
        <v>499</v>
      </c>
      <c r="G117" s="10" t="s">
        <v>500</v>
      </c>
      <c r="H117" s="9" t="s">
        <v>22</v>
      </c>
      <c r="I117" s="13" t="s">
        <v>16</v>
      </c>
      <c r="J117" s="9">
        <v>1</v>
      </c>
      <c r="K117" s="9"/>
    </row>
    <row r="118" ht="26.25" spans="1:11">
      <c r="A118" s="2"/>
      <c r="B118" s="7">
        <f>ROW(B118)-ROW($B$2)</f>
        <v>116</v>
      </c>
      <c r="C118" s="11" t="s">
        <v>501</v>
      </c>
      <c r="D118" s="12" t="s">
        <v>502</v>
      </c>
      <c r="E118" s="13" t="s">
        <v>503</v>
      </c>
      <c r="F118" s="12" t="s">
        <v>504</v>
      </c>
      <c r="G118" s="13" t="s">
        <v>505</v>
      </c>
      <c r="H118" s="12" t="s">
        <v>506</v>
      </c>
      <c r="I118" s="13" t="s">
        <v>16</v>
      </c>
      <c r="J118" s="12">
        <v>1</v>
      </c>
      <c r="K118" s="12"/>
    </row>
    <row r="119" ht="15.75" spans="1:11">
      <c r="A119" s="2"/>
      <c r="B119" s="7">
        <f>ROW(B119)-ROW($B$2)</f>
        <v>117</v>
      </c>
      <c r="C119" s="8" t="s">
        <v>427</v>
      </c>
      <c r="D119" s="9" t="s">
        <v>507</v>
      </c>
      <c r="E119" s="10" t="s">
        <v>434</v>
      </c>
      <c r="F119" s="9" t="s">
        <v>435</v>
      </c>
      <c r="G119" s="10" t="s">
        <v>508</v>
      </c>
      <c r="H119" s="9" t="s">
        <v>437</v>
      </c>
      <c r="I119" s="13" t="s">
        <v>16</v>
      </c>
      <c r="J119" s="9">
        <v>1</v>
      </c>
      <c r="K119" s="9"/>
    </row>
    <row r="120" ht="15.75" spans="1:11">
      <c r="A120" s="2"/>
      <c r="B120" s="7">
        <f>ROW(B120)-ROW($B$2)</f>
        <v>118</v>
      </c>
      <c r="C120" s="11" t="s">
        <v>427</v>
      </c>
      <c r="D120" s="12" t="s">
        <v>509</v>
      </c>
      <c r="E120" s="13" t="s">
        <v>510</v>
      </c>
      <c r="F120" s="12" t="s">
        <v>99</v>
      </c>
      <c r="G120" s="13" t="s">
        <v>511</v>
      </c>
      <c r="H120" s="12" t="s">
        <v>512</v>
      </c>
      <c r="I120" s="13" t="s">
        <v>16</v>
      </c>
      <c r="J120" s="12">
        <v>2</v>
      </c>
      <c r="K120" s="12"/>
    </row>
    <row r="121" ht="36.75" spans="1:11">
      <c r="A121" s="2"/>
      <c r="B121" s="7">
        <f>ROW(B121)-ROW($B$2)</f>
        <v>119</v>
      </c>
      <c r="C121" s="8" t="s">
        <v>513</v>
      </c>
      <c r="D121" s="9" t="s">
        <v>514</v>
      </c>
      <c r="E121" s="10" t="s">
        <v>515</v>
      </c>
      <c r="F121" s="9" t="s">
        <v>516</v>
      </c>
      <c r="G121" s="10" t="s">
        <v>517</v>
      </c>
      <c r="H121" s="9" t="s">
        <v>518</v>
      </c>
      <c r="I121" s="10" t="s">
        <v>519</v>
      </c>
      <c r="J121" s="9">
        <v>1</v>
      </c>
      <c r="K121" s="9"/>
    </row>
    <row r="122" ht="24.75" spans="1:11">
      <c r="A122" s="2"/>
      <c r="B122" s="7">
        <f>ROW(B122)-ROW($B$2)</f>
        <v>120</v>
      </c>
      <c r="C122" s="11" t="s">
        <v>513</v>
      </c>
      <c r="D122" s="12" t="s">
        <v>520</v>
      </c>
      <c r="E122" s="13" t="s">
        <v>521</v>
      </c>
      <c r="F122" s="12" t="s">
        <v>522</v>
      </c>
      <c r="G122" s="13" t="s">
        <v>523</v>
      </c>
      <c r="H122" s="12" t="s">
        <v>524</v>
      </c>
      <c r="I122" s="13" t="s">
        <v>525</v>
      </c>
      <c r="J122" s="12">
        <v>1</v>
      </c>
      <c r="K122" s="12"/>
    </row>
    <row r="123" ht="15.75" spans="1:11">
      <c r="A123" s="2"/>
      <c r="B123" s="7">
        <f>ROW(B123)-ROW($B$2)</f>
        <v>121</v>
      </c>
      <c r="C123" s="8" t="s">
        <v>513</v>
      </c>
      <c r="D123" s="9" t="s">
        <v>526</v>
      </c>
      <c r="E123" s="10" t="s">
        <v>527</v>
      </c>
      <c r="F123" s="9" t="s">
        <v>528</v>
      </c>
      <c r="G123" s="10" t="s">
        <v>529</v>
      </c>
      <c r="H123" s="9" t="s">
        <v>524</v>
      </c>
      <c r="I123" s="10" t="s">
        <v>530</v>
      </c>
      <c r="J123" s="9">
        <v>1</v>
      </c>
      <c r="K123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haroon traders</cp:lastModifiedBy>
  <dcterms:created xsi:type="dcterms:W3CDTF">2019-12-12T10:34:00Z</dcterms:created>
  <dcterms:modified xsi:type="dcterms:W3CDTF">2025-09-23T10:07:03Z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8305754D86764BB2B9E74A8DC2B86D84_13</vt:lpwstr>
  </property>
  <property fmtid="{D5CDD505-2E9C-101B-9397-08002B2CF9AE}" pid="3" name="KSOProductBuildVer">
    <vt:lpwstr>2057-12.2.0.22549</vt:lpwstr>
  </property>
</Properties>
</file>